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560"/>
  </bookViews>
  <sheets>
    <sheet name="model1" sheetId="3" r:id="rId1"/>
    <sheet name="uplink" sheetId="4" r:id="rId2"/>
    <sheet name="relay" sheetId="5" r:id="rId3"/>
    <sheet name="CS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<sst xmlns="http://schemas.openxmlformats.org/spreadsheetml/2006/main" count="817" uniqueCount="136">
  <si>
    <t>Category</t>
  </si>
  <si>
    <t>Code</t>
  </si>
  <si>
    <t>Parameter</t>
  </si>
  <si>
    <t>Symbol</t>
  </si>
  <si>
    <t>First-pass value</t>
  </si>
  <si>
    <t>Unit</t>
  </si>
  <si>
    <t>Notes</t>
  </si>
  <si>
    <t>L2 downlink</t>
  </si>
  <si>
    <t>Satellite</t>
  </si>
  <si>
    <t>Geometry</t>
  </si>
  <si>
    <t>PS1</t>
  </si>
  <si>
    <t>Satellite latitude</t>
  </si>
  <si>
    <t>(\phi_s)</t>
  </si>
  <si>
    <t>deg</t>
  </si>
  <si>
    <t>Earth-relative sub-satellite latitude in MATLAB</t>
  </si>
  <si>
    <t>PS2</t>
  </si>
  <si>
    <t>Satellite longitude</t>
  </si>
  <si>
    <t>(\lambda_s)</t>
  </si>
  <si>
    <t>Earth-relative sub-satellite longitude in MATLAB</t>
  </si>
  <si>
    <t>PS3</t>
  </si>
  <si>
    <t>Satellite altitude / approx. lunar range</t>
  </si>
  <si>
    <t>(h_s) / (d)</t>
  </si>
  <si>
    <t>km</t>
  </si>
  <si>
    <t>Approximate Earth–Moon distance</t>
  </si>
  <si>
    <t>Ground station</t>
  </si>
  <si>
    <t>PG1</t>
  </si>
  <si>
    <t>Ground station latitude</t>
  </si>
  <si>
    <t>(\phi_g)</t>
  </si>
  <si>
    <t>G2 latitude: DSN madrid</t>
  </si>
  <si>
    <t>PG2</t>
  </si>
  <si>
    <t>Ground station longitude</t>
  </si>
  <si>
    <t>(\lambda_g)</t>
  </si>
  <si>
    <t>G2 longitude:DSN madrid</t>
  </si>
  <si>
    <t>PG3</t>
  </si>
  <si>
    <t>Ground station altitude</t>
  </si>
  <si>
    <t>(h_g)</t>
  </si>
  <si>
    <t>m</t>
  </si>
  <si>
    <t>DSN madrid</t>
  </si>
  <si>
    <t>—</t>
  </si>
  <si>
    <t>Elevation angle</t>
  </si>
  <si>
    <t>(E)</t>
  </si>
  <si>
    <t>MATLAB calculated</t>
  </si>
  <si>
    <t>Do not manually input here; MATLAB computes from S2/G2 geometry</t>
  </si>
  <si>
    <t>Link</t>
  </si>
  <si>
    <t>Frequency</t>
  </si>
  <si>
    <t>PL1</t>
  </si>
  <si>
    <t>(f)</t>
  </si>
  <si>
    <t>GHz</t>
  </si>
  <si>
    <t>Current L2 link : try x band</t>
  </si>
  <si>
    <t>PL2</t>
  </si>
  <si>
    <t>Bandwidth</t>
  </si>
  <si>
    <t>(B)</t>
  </si>
  <si>
    <t>MHz</t>
  </si>
  <si>
    <t>Receiver/noise bandwidth: x</t>
  </si>
  <si>
    <t>PL3</t>
  </si>
  <si>
    <t>Bit rate</t>
  </si>
  <si>
    <t>(R_b)</t>
  </si>
  <si>
    <t>Mbps</t>
  </si>
  <si>
    <t>Current data rate</t>
  </si>
  <si>
    <t>PL4</t>
  </si>
  <si>
    <t>Required (E_b/N_0)</t>
  </si>
  <si>
    <t>SNR</t>
  </si>
  <si>
    <t>dB</t>
  </si>
  <si>
    <t>Conservative/modulation assumption</t>
  </si>
  <si>
    <t>PL5</t>
  </si>
  <si>
    <t>Polarization mismatch</t>
  </si>
  <si>
    <t>(\theta_{pol})</t>
  </si>
  <si>
    <t>MATLAB converts this to polarization loss: 45 is in the middle</t>
  </si>
  <si>
    <t>PL6</t>
  </si>
  <si>
    <t>Implementation loss</t>
  </si>
  <si>
    <t>(L_{impl})</t>
  </si>
  <si>
    <t>Practical hardware/modem loss</t>
  </si>
  <si>
    <t>PL7</t>
  </si>
  <si>
    <t>Antenna mispointing loss</t>
  </si>
  <si>
    <t>(L_{point})</t>
  </si>
  <si>
    <t>Pointing loss</t>
  </si>
  <si>
    <t>PL8</t>
  </si>
  <si>
    <t>Radome loss</t>
  </si>
  <si>
    <t>(L_{radome})</t>
  </si>
  <si>
    <t>Extra link loss</t>
  </si>
  <si>
    <t>Transmitter</t>
  </si>
  <si>
    <t>PT1</t>
  </si>
  <si>
    <t>Tx feeder loss</t>
  </si>
  <si>
    <t>(L_{tx,feed})</t>
  </si>
  <si>
    <t>S2 transmitter chain loss</t>
  </si>
  <si>
    <t>PT2</t>
  </si>
  <si>
    <t>Other Tx losses</t>
  </si>
  <si>
    <t>(L_{tx,other})</t>
  </si>
  <si>
    <t>Other S2 transmitter losses</t>
  </si>
  <si>
    <t>PT3</t>
  </si>
  <si>
    <t>Tx HPA power</t>
  </si>
  <si>
    <t>(P_{HPA})</t>
  </si>
  <si>
    <t>dBW</t>
  </si>
  <si>
    <t>17 dBW ≈ 50 W</t>
  </si>
  <si>
    <t>PT4</t>
  </si>
  <si>
    <t>Tx HPA output back-off</t>
  </si>
  <si>
    <t>OBO</t>
  </si>
  <si>
    <t>Effective RF output is reduced by 4 dB</t>
  </si>
  <si>
    <t>PT5</t>
  </si>
  <si>
    <t>Tx antenna gain</t>
  </si>
  <si>
    <t>(G_{tx})</t>
  </si>
  <si>
    <t>dBi</t>
  </si>
  <si>
    <t>S2 transmit antenna gain</t>
  </si>
  <si>
    <t>Receiver</t>
  </si>
  <si>
    <t>PR1</t>
  </si>
  <si>
    <t>Interference loss</t>
  </si>
  <si>
    <t>(L_{int})</t>
  </si>
  <si>
    <t>G2 receiver interference/misc loss</t>
  </si>
  <si>
    <t>PR2</t>
  </si>
  <si>
    <t>Ground station Rx G/T</t>
  </si>
  <si>
    <t>(G/T)</t>
  </si>
  <si>
    <t>dB/K</t>
  </si>
  <si>
    <t>G2 receiver figure of merit</t>
  </si>
  <si>
    <t>PR3</t>
  </si>
  <si>
    <t>Rx feeder loss</t>
  </si>
  <si>
    <t>(L_{rx,feed})</t>
  </si>
  <si>
    <t>G2 receive chain loss</t>
  </si>
  <si>
    <t>PR4</t>
  </si>
  <si>
    <t>Other Rx losses</t>
  </si>
  <si>
    <t>(L_{rx,other})</t>
  </si>
  <si>
    <t>Other G2 receiver losses</t>
  </si>
  <si>
    <t>Design target</t>
  </si>
  <si>
    <t>Required margin</t>
  </si>
  <si>
    <t>(M_{req})</t>
  </si>
  <si>
    <t>≥3</t>
  </si>
  <si>
    <t>Your design pass/fail target</t>
  </si>
  <si>
    <t>L1 uplink</t>
  </si>
  <si>
    <t>L3 relay</t>
  </si>
  <si>
    <t>Satellite S3</t>
  </si>
  <si>
    <t>Satellite S4</t>
  </si>
  <si>
    <t>L1</t>
  </si>
  <si>
    <t>G2 latitude</t>
  </si>
  <si>
    <t>G2 longitude</t>
  </si>
  <si>
    <t>Height above sea level</t>
  </si>
  <si>
    <t>MATLAB converts this to polarization loss</t>
  </si>
  <si>
    <t>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</si>
</sst>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12" applyNumberFormat="0" applyAlignment="0" applyProtection="0">
      <alignment vertical="center"/>
    </xf>
    <xf numFmtId="0" fontId="12" fillId="11" borderId="13" applyNumberFormat="0" applyAlignment="0" applyProtection="0">
      <alignment vertical="center"/>
    </xf>
    <xf numFmtId="0" fontId="13" fillId="11" borderId="12" applyNumberFormat="0" applyAlignment="0" applyProtection="0">
      <alignment vertical="center"/>
    </xf>
    <xf numFmtId="0" fontId="14" fillId="12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" fillId="0" borderId="1" xfId="0" applyFont="1" applyFill="1" applyBorder="1">
      <alignment vertical="center"/>
    </xf>
    <xf numFmtId="0" fontId="0" fillId="0" borderId="2" xfId="0" applyFill="1" applyBorder="1">
      <alignment vertical="center"/>
    </xf>
    <xf numFmtId="0" fontId="2" fillId="0" borderId="3" xfId="0" applyFont="1" applyFill="1" applyBorder="1">
      <alignment vertical="center"/>
    </xf>
    <xf numFmtId="0" fontId="0" fillId="0" borderId="3" xfId="0" applyBorder="1">
      <alignment vertical="center"/>
    </xf>
    <xf numFmtId="0" fontId="1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"/>
  <sheetViews>
    <sheetView tabSelected="1" zoomScale="76" zoomScaleNormal="76" topLeftCell="A2" workbookViewId="0">
      <selection activeCell="H51" sqref="H51"/>
    </sheetView>
  </sheetViews>
  <sheetFormatPr defaultColWidth="9" defaultRowHeight="16.8" outlineLevelCol="6"/>
  <cols>
    <col min="1" max="1" width="12.375" customWidth="1"/>
    <col min="2" max="2" width="7.421875" customWidth="1"/>
    <col min="3" max="3" width="26.6875" customWidth="1"/>
    <col min="4" max="4" width="24.8671875" customWidth="1"/>
    <col min="5" max="5" width="17.578125" customWidth="1"/>
    <col min="6" max="6" width="18.75" customWidth="1"/>
    <col min="7" max="7" width="56.125" customWidth="1"/>
  </cols>
  <sheetData>
    <row r="1" spans="1:7">
      <c r="A1" s="2" t="s">
        <v>0</v>
      </c>
      <c r="B1" s="3" t="s">
        <v>1</v>
      </c>
      <c r="C1" s="4" t="s">
        <v>2</v>
      </c>
      <c r="D1" s="5" t="s">
        <v>3</v>
      </c>
      <c r="E1" s="9" t="s">
        <v>4</v>
      </c>
      <c r="F1" s="10" t="s">
        <v>5</v>
      </c>
      <c r="G1" s="11" t="s">
        <v>6</v>
      </c>
    </row>
    <row r="2" s="1" customFormat="1" spans="1:7">
      <c r="A2" s="12" t="s">
        <v>7</v>
      </c>
      <c r="B2" s="13"/>
      <c r="C2" s="13"/>
      <c r="D2" s="13"/>
      <c r="E2" s="13"/>
      <c r="F2" s="13"/>
      <c r="G2" s="19"/>
    </row>
    <row r="3" s="1" customFormat="1" spans="1:7">
      <c r="A3" s="14" t="s">
        <v>8</v>
      </c>
      <c r="G3" s="20"/>
    </row>
    <row r="4" spans="1:7">
      <c r="A4" s="15" t="s">
        <v>9</v>
      </c>
      <c r="B4" t="s">
        <v>10</v>
      </c>
      <c r="C4" t="s">
        <v>11</v>
      </c>
      <c r="D4" t="s">
        <v>12</v>
      </c>
      <c r="E4">
        <v>40.4314</v>
      </c>
      <c r="F4" t="s">
        <v>13</v>
      </c>
      <c r="G4" s="21" t="s">
        <v>14</v>
      </c>
    </row>
    <row r="5" spans="1:7">
      <c r="A5" s="15" t="s">
        <v>9</v>
      </c>
      <c r="B5" t="s">
        <v>15</v>
      </c>
      <c r="C5" t="s">
        <v>16</v>
      </c>
      <c r="D5" t="s">
        <v>17</v>
      </c>
      <c r="E5">
        <v>-4.2481</v>
      </c>
      <c r="F5" t="s">
        <v>13</v>
      </c>
      <c r="G5" s="21" t="s">
        <v>18</v>
      </c>
    </row>
    <row r="6" spans="1:7">
      <c r="A6" s="15" t="s">
        <v>9</v>
      </c>
      <c r="B6" t="s">
        <v>19</v>
      </c>
      <c r="C6" t="s">
        <v>20</v>
      </c>
      <c r="D6" t="s">
        <v>21</v>
      </c>
      <c r="E6">
        <v>384400</v>
      </c>
      <c r="F6" t="s">
        <v>22</v>
      </c>
      <c r="G6" s="21" t="s">
        <v>23</v>
      </c>
    </row>
    <row r="7" spans="1:7">
      <c r="A7" s="16" t="s">
        <v>24</v>
      </c>
      <c r="G7" s="21"/>
    </row>
    <row r="8" spans="1:7">
      <c r="A8" s="15" t="s">
        <v>9</v>
      </c>
      <c r="B8" t="s">
        <v>25</v>
      </c>
      <c r="C8" t="s">
        <v>26</v>
      </c>
      <c r="D8" t="s">
        <v>27</v>
      </c>
      <c r="E8">
        <v>40.4314</v>
      </c>
      <c r="F8" t="s">
        <v>13</v>
      </c>
      <c r="G8" s="21" t="s">
        <v>28</v>
      </c>
    </row>
    <row r="9" spans="1:7">
      <c r="A9" s="15" t="s">
        <v>9</v>
      </c>
      <c r="B9" t="s">
        <v>29</v>
      </c>
      <c r="C9" t="s">
        <v>30</v>
      </c>
      <c r="D9" t="s">
        <v>31</v>
      </c>
      <c r="E9">
        <v>-4.2481</v>
      </c>
      <c r="F9" t="s">
        <v>13</v>
      </c>
      <c r="G9" s="21" t="s">
        <v>32</v>
      </c>
    </row>
    <row r="10" spans="1:7">
      <c r="A10" s="15" t="s">
        <v>9</v>
      </c>
      <c r="B10" t="s">
        <v>33</v>
      </c>
      <c r="C10" t="s">
        <v>34</v>
      </c>
      <c r="D10" t="s">
        <v>35</v>
      </c>
      <c r="E10">
        <v>800</v>
      </c>
      <c r="F10" t="s">
        <v>36</v>
      </c>
      <c r="G10" s="21" t="s">
        <v>37</v>
      </c>
    </row>
    <row r="11" spans="1:7">
      <c r="A11" s="15" t="s">
        <v>9</v>
      </c>
      <c r="B11" t="s">
        <v>38</v>
      </c>
      <c r="C11" t="s">
        <v>39</v>
      </c>
      <c r="D11" t="s">
        <v>40</v>
      </c>
      <c r="E11" t="s">
        <v>41</v>
      </c>
      <c r="F11" t="s">
        <v>13</v>
      </c>
      <c r="G11" s="21" t="s">
        <v>42</v>
      </c>
    </row>
    <row r="12" spans="1:7">
      <c r="A12" s="16" t="s">
        <v>43</v>
      </c>
      <c r="G12" s="21"/>
    </row>
    <row r="13" spans="1:7">
      <c r="A13" s="15" t="s">
        <v>44</v>
      </c>
      <c r="B13" t="s">
        <v>45</v>
      </c>
      <c r="C13" t="s">
        <v>44</v>
      </c>
      <c r="D13" t="s">
        <v>46</v>
      </c>
      <c r="E13">
        <v>8</v>
      </c>
      <c r="F13" t="s">
        <v>47</v>
      </c>
      <c r="G13" s="21" t="s">
        <v>48</v>
      </c>
    </row>
    <row r="14" spans="1:7">
      <c r="A14" s="15" t="s">
        <v>43</v>
      </c>
      <c r="B14" t="s">
        <v>49</v>
      </c>
      <c r="C14" t="s">
        <v>50</v>
      </c>
      <c r="D14" t="s">
        <v>51</v>
      </c>
      <c r="E14">
        <v>4</v>
      </c>
      <c r="F14" t="s">
        <v>52</v>
      </c>
      <c r="G14" s="21" t="s">
        <v>53</v>
      </c>
    </row>
    <row r="15" spans="1:7">
      <c r="A15" s="15" t="s">
        <v>43</v>
      </c>
      <c r="B15" t="s">
        <v>54</v>
      </c>
      <c r="C15" t="s">
        <v>55</v>
      </c>
      <c r="D15" t="s">
        <v>56</v>
      </c>
      <c r="E15">
        <v>0.001</v>
      </c>
      <c r="F15" t="s">
        <v>57</v>
      </c>
      <c r="G15" s="21" t="s">
        <v>58</v>
      </c>
    </row>
    <row r="16" spans="1:7">
      <c r="A16" s="15" t="s">
        <v>43</v>
      </c>
      <c r="B16" t="s">
        <v>59</v>
      </c>
      <c r="C16" t="s">
        <v>60</v>
      </c>
      <c r="D16" t="s">
        <v>61</v>
      </c>
      <c r="E16">
        <v>10.384</v>
      </c>
      <c r="F16" t="s">
        <v>62</v>
      </c>
      <c r="G16" s="21" t="s">
        <v>63</v>
      </c>
    </row>
    <row r="17" spans="1:7">
      <c r="A17" s="15" t="s">
        <v>43</v>
      </c>
      <c r="B17" t="s">
        <v>64</v>
      </c>
      <c r="C17" t="s">
        <v>65</v>
      </c>
      <c r="D17" t="s">
        <v>66</v>
      </c>
      <c r="E17">
        <v>45</v>
      </c>
      <c r="F17" t="s">
        <v>13</v>
      </c>
      <c r="G17" s="21" t="s">
        <v>67</v>
      </c>
    </row>
    <row r="18" spans="1:7">
      <c r="A18" s="15" t="s">
        <v>43</v>
      </c>
      <c r="B18" t="s">
        <v>68</v>
      </c>
      <c r="C18" t="s">
        <v>69</v>
      </c>
      <c r="D18" t="s">
        <v>70</v>
      </c>
      <c r="E18">
        <v>2</v>
      </c>
      <c r="F18" t="s">
        <v>62</v>
      </c>
      <c r="G18" s="21" t="s">
        <v>71</v>
      </c>
    </row>
    <row r="19" spans="1:7">
      <c r="A19" s="15" t="s">
        <v>43</v>
      </c>
      <c r="B19" t="s">
        <v>72</v>
      </c>
      <c r="C19" t="s">
        <v>73</v>
      </c>
      <c r="D19" t="s">
        <v>74</v>
      </c>
      <c r="E19">
        <v>1</v>
      </c>
      <c r="F19" t="s">
        <v>62</v>
      </c>
      <c r="G19" s="21" t="s">
        <v>75</v>
      </c>
    </row>
    <row r="20" spans="1:7">
      <c r="A20" s="15" t="s">
        <v>43</v>
      </c>
      <c r="B20" t="s">
        <v>76</v>
      </c>
      <c r="C20" t="s">
        <v>77</v>
      </c>
      <c r="D20" t="s">
        <v>78</v>
      </c>
      <c r="E20">
        <v>1</v>
      </c>
      <c r="F20" t="s">
        <v>62</v>
      </c>
      <c r="G20" s="21" t="s">
        <v>79</v>
      </c>
    </row>
    <row r="21" spans="1:7">
      <c r="A21" s="14" t="s">
        <v>8</v>
      </c>
      <c r="G21" s="21"/>
    </row>
    <row r="22" spans="1:7">
      <c r="A22" s="15" t="s">
        <v>80</v>
      </c>
      <c r="B22" t="s">
        <v>81</v>
      </c>
      <c r="C22" t="s">
        <v>82</v>
      </c>
      <c r="D22" t="s">
        <v>83</v>
      </c>
      <c r="E22">
        <v>1</v>
      </c>
      <c r="F22" t="s">
        <v>62</v>
      </c>
      <c r="G22" s="21" t="s">
        <v>84</v>
      </c>
    </row>
    <row r="23" spans="1:7">
      <c r="A23" s="15" t="s">
        <v>80</v>
      </c>
      <c r="B23" t="s">
        <v>85</v>
      </c>
      <c r="C23" t="s">
        <v>86</v>
      </c>
      <c r="D23" t="s">
        <v>87</v>
      </c>
      <c r="E23">
        <v>1</v>
      </c>
      <c r="F23" t="s">
        <v>62</v>
      </c>
      <c r="G23" s="21" t="s">
        <v>88</v>
      </c>
    </row>
    <row r="24" spans="1:7">
      <c r="A24" s="15" t="s">
        <v>80</v>
      </c>
      <c r="B24" t="s">
        <v>89</v>
      </c>
      <c r="C24" t="s">
        <v>90</v>
      </c>
      <c r="D24" t="s">
        <v>91</v>
      </c>
      <c r="E24">
        <v>17</v>
      </c>
      <c r="F24" t="s">
        <v>92</v>
      </c>
      <c r="G24" s="21" t="s">
        <v>93</v>
      </c>
    </row>
    <row r="25" spans="1:7">
      <c r="A25" s="15" t="s">
        <v>80</v>
      </c>
      <c r="B25" t="s">
        <v>94</v>
      </c>
      <c r="C25" t="s">
        <v>95</v>
      </c>
      <c r="D25" t="s">
        <v>96</v>
      </c>
      <c r="E25">
        <v>4</v>
      </c>
      <c r="F25" t="s">
        <v>62</v>
      </c>
      <c r="G25" s="21" t="s">
        <v>97</v>
      </c>
    </row>
    <row r="26" spans="1:7">
      <c r="A26" s="15" t="s">
        <v>80</v>
      </c>
      <c r="B26" t="s">
        <v>98</v>
      </c>
      <c r="C26" t="s">
        <v>99</v>
      </c>
      <c r="D26" t="s">
        <v>100</v>
      </c>
      <c r="E26">
        <v>25</v>
      </c>
      <c r="F26" t="s">
        <v>101</v>
      </c>
      <c r="G26" s="21" t="s">
        <v>102</v>
      </c>
    </row>
    <row r="27" spans="1:7">
      <c r="A27" s="16" t="s">
        <v>24</v>
      </c>
      <c r="G27" s="21"/>
    </row>
    <row r="28" spans="1:7">
      <c r="A28" s="15" t="s">
        <v>103</v>
      </c>
      <c r="B28" t="s">
        <v>104</v>
      </c>
      <c r="C28" t="s">
        <v>105</v>
      </c>
      <c r="D28" t="s">
        <v>106</v>
      </c>
      <c r="E28">
        <v>2</v>
      </c>
      <c r="F28" t="s">
        <v>62</v>
      </c>
      <c r="G28" s="21" t="s">
        <v>107</v>
      </c>
    </row>
    <row r="29" spans="1:7">
      <c r="A29" s="15" t="s">
        <v>103</v>
      </c>
      <c r="B29" t="s">
        <v>108</v>
      </c>
      <c r="C29" t="s">
        <v>109</v>
      </c>
      <c r="D29" t="s">
        <v>110</v>
      </c>
      <c r="E29">
        <v>15</v>
      </c>
      <c r="F29" t="s">
        <v>111</v>
      </c>
      <c r="G29" s="21" t="s">
        <v>112</v>
      </c>
    </row>
    <row r="30" spans="1:7">
      <c r="A30" s="15" t="s">
        <v>103</v>
      </c>
      <c r="B30" t="s">
        <v>113</v>
      </c>
      <c r="C30" t="s">
        <v>114</v>
      </c>
      <c r="D30" t="s">
        <v>115</v>
      </c>
      <c r="E30">
        <v>1</v>
      </c>
      <c r="F30" t="s">
        <v>62</v>
      </c>
      <c r="G30" s="21" t="s">
        <v>116</v>
      </c>
    </row>
    <row r="31" spans="1:7">
      <c r="A31" s="15" t="s">
        <v>103</v>
      </c>
      <c r="B31" t="s">
        <v>117</v>
      </c>
      <c r="C31" t="s">
        <v>118</v>
      </c>
      <c r="D31" t="s">
        <v>119</v>
      </c>
      <c r="E31">
        <v>1</v>
      </c>
      <c r="F31" t="s">
        <v>62</v>
      </c>
      <c r="G31" s="21" t="s">
        <v>120</v>
      </c>
    </row>
    <row r="32" spans="1:7">
      <c r="A32" s="17" t="s">
        <v>121</v>
      </c>
      <c r="B32" s="18" t="s">
        <v>38</v>
      </c>
      <c r="C32" s="18" t="s">
        <v>122</v>
      </c>
      <c r="D32" s="18" t="s">
        <v>123</v>
      </c>
      <c r="E32" s="18" t="s">
        <v>124</v>
      </c>
      <c r="F32" s="18" t="s">
        <v>62</v>
      </c>
      <c r="G32" s="22" t="s">
        <v>125</v>
      </c>
    </row>
    <row r="33" spans="1:7">
      <c r="A33" s="2" t="s">
        <v>0</v>
      </c>
      <c r="B33" s="3" t="s">
        <v>1</v>
      </c>
      <c r="C33" s="4" t="s">
        <v>2</v>
      </c>
      <c r="D33" s="5" t="s">
        <v>3</v>
      </c>
      <c r="E33" s="9" t="s">
        <v>4</v>
      </c>
      <c r="F33" s="10" t="s">
        <v>5</v>
      </c>
      <c r="G33" s="11" t="s">
        <v>6</v>
      </c>
    </row>
    <row r="34" spans="1:7">
      <c r="A34" s="12" t="s">
        <v>126</v>
      </c>
      <c r="B34" s="13"/>
      <c r="C34" s="13"/>
      <c r="D34" s="13"/>
      <c r="E34" s="13"/>
      <c r="F34" s="13"/>
      <c r="G34" s="19"/>
    </row>
    <row r="35" spans="1:7">
      <c r="A35" s="14" t="s">
        <v>8</v>
      </c>
      <c r="B35" s="1"/>
      <c r="C35" s="1"/>
      <c r="D35" s="1"/>
      <c r="E35" s="1"/>
      <c r="F35" s="1"/>
      <c r="G35" s="20"/>
    </row>
    <row r="36" spans="1:7">
      <c r="A36" s="15" t="s">
        <v>9</v>
      </c>
      <c r="B36" t="s">
        <v>10</v>
      </c>
      <c r="C36" t="s">
        <v>11</v>
      </c>
      <c r="D36" t="s">
        <v>12</v>
      </c>
      <c r="E36">
        <v>40.4314</v>
      </c>
      <c r="F36" t="s">
        <v>13</v>
      </c>
      <c r="G36" s="21" t="s">
        <v>14</v>
      </c>
    </row>
    <row r="37" spans="1:7">
      <c r="A37" s="15" t="s">
        <v>9</v>
      </c>
      <c r="B37" t="s">
        <v>15</v>
      </c>
      <c r="C37" t="s">
        <v>16</v>
      </c>
      <c r="D37" t="s">
        <v>17</v>
      </c>
      <c r="E37">
        <v>-4.2481</v>
      </c>
      <c r="F37" t="s">
        <v>13</v>
      </c>
      <c r="G37" s="21" t="s">
        <v>18</v>
      </c>
    </row>
    <row r="38" spans="1:7">
      <c r="A38" s="15" t="s">
        <v>9</v>
      </c>
      <c r="B38" t="s">
        <v>19</v>
      </c>
      <c r="C38" t="s">
        <v>20</v>
      </c>
      <c r="D38" t="s">
        <v>21</v>
      </c>
      <c r="E38">
        <v>384400</v>
      </c>
      <c r="F38" t="s">
        <v>22</v>
      </c>
      <c r="G38" s="21" t="s">
        <v>23</v>
      </c>
    </row>
    <row r="39" spans="1:7">
      <c r="A39" s="16" t="s">
        <v>24</v>
      </c>
      <c r="G39" s="21"/>
    </row>
    <row r="40" spans="1:7">
      <c r="A40" s="15" t="s">
        <v>9</v>
      </c>
      <c r="B40" t="s">
        <v>25</v>
      </c>
      <c r="C40" t="s">
        <v>26</v>
      </c>
      <c r="D40" t="s">
        <v>27</v>
      </c>
      <c r="E40">
        <v>40.4314</v>
      </c>
      <c r="F40" t="s">
        <v>13</v>
      </c>
      <c r="G40" s="21" t="s">
        <v>28</v>
      </c>
    </row>
    <row r="41" spans="1:7">
      <c r="A41" s="15" t="s">
        <v>9</v>
      </c>
      <c r="B41" t="s">
        <v>29</v>
      </c>
      <c r="C41" t="s">
        <v>30</v>
      </c>
      <c r="D41" t="s">
        <v>31</v>
      </c>
      <c r="E41">
        <v>-4.2481</v>
      </c>
      <c r="F41" t="s">
        <v>13</v>
      </c>
      <c r="G41" s="21" t="s">
        <v>32</v>
      </c>
    </row>
    <row r="42" spans="1:7">
      <c r="A42" s="15" t="s">
        <v>9</v>
      </c>
      <c r="B42" t="s">
        <v>33</v>
      </c>
      <c r="C42" t="s">
        <v>34</v>
      </c>
      <c r="D42" t="s">
        <v>35</v>
      </c>
      <c r="E42">
        <v>800</v>
      </c>
      <c r="F42" t="s">
        <v>36</v>
      </c>
      <c r="G42" s="21" t="s">
        <v>37</v>
      </c>
    </row>
    <row r="43" spans="1:7">
      <c r="A43" s="15" t="s">
        <v>9</v>
      </c>
      <c r="B43" t="s">
        <v>38</v>
      </c>
      <c r="C43" t="s">
        <v>39</v>
      </c>
      <c r="D43" t="s">
        <v>40</v>
      </c>
      <c r="E43" t="s">
        <v>41</v>
      </c>
      <c r="F43" t="s">
        <v>13</v>
      </c>
      <c r="G43" s="21" t="s">
        <v>42</v>
      </c>
    </row>
    <row r="44" spans="1:7">
      <c r="A44" s="16" t="s">
        <v>43</v>
      </c>
      <c r="G44" s="21"/>
    </row>
    <row r="45" spans="1:7">
      <c r="A45" s="15" t="s">
        <v>44</v>
      </c>
      <c r="B45" t="s">
        <v>45</v>
      </c>
      <c r="C45" t="s">
        <v>44</v>
      </c>
      <c r="D45" t="s">
        <v>46</v>
      </c>
      <c r="E45">
        <v>8.5</v>
      </c>
      <c r="F45" t="s">
        <v>47</v>
      </c>
      <c r="G45" s="21" t="s">
        <v>48</v>
      </c>
    </row>
    <row r="46" spans="1:7">
      <c r="A46" s="15" t="s">
        <v>43</v>
      </c>
      <c r="B46" t="s">
        <v>49</v>
      </c>
      <c r="C46" t="s">
        <v>50</v>
      </c>
      <c r="D46" t="s">
        <v>51</v>
      </c>
      <c r="E46">
        <v>4</v>
      </c>
      <c r="F46" t="s">
        <v>52</v>
      </c>
      <c r="G46" s="21" t="s">
        <v>53</v>
      </c>
    </row>
    <row r="47" spans="1:7">
      <c r="A47" s="15" t="s">
        <v>43</v>
      </c>
      <c r="B47" t="s">
        <v>54</v>
      </c>
      <c r="C47" t="s">
        <v>55</v>
      </c>
      <c r="D47" t="s">
        <v>56</v>
      </c>
      <c r="E47">
        <v>0.001</v>
      </c>
      <c r="F47" t="s">
        <v>57</v>
      </c>
      <c r="G47" s="21" t="s">
        <v>58</v>
      </c>
    </row>
    <row r="48" spans="1:7">
      <c r="A48" s="15" t="s">
        <v>43</v>
      </c>
      <c r="B48" t="s">
        <v>59</v>
      </c>
      <c r="C48" t="s">
        <v>60</v>
      </c>
      <c r="D48" t="s">
        <v>61</v>
      </c>
      <c r="E48">
        <v>10</v>
      </c>
      <c r="F48" t="s">
        <v>62</v>
      </c>
      <c r="G48" s="21" t="s">
        <v>63</v>
      </c>
    </row>
    <row r="49" spans="1:7">
      <c r="A49" s="15" t="s">
        <v>43</v>
      </c>
      <c r="B49" t="s">
        <v>64</v>
      </c>
      <c r="C49" t="s">
        <v>65</v>
      </c>
      <c r="D49" t="s">
        <v>66</v>
      </c>
      <c r="E49">
        <v>45</v>
      </c>
      <c r="F49" t="s">
        <v>13</v>
      </c>
      <c r="G49" s="21" t="s">
        <v>67</v>
      </c>
    </row>
    <row r="50" spans="1:7">
      <c r="A50" s="15" t="s">
        <v>43</v>
      </c>
      <c r="B50" t="s">
        <v>68</v>
      </c>
      <c r="C50" t="s">
        <v>69</v>
      </c>
      <c r="D50" t="s">
        <v>70</v>
      </c>
      <c r="E50">
        <v>2</v>
      </c>
      <c r="F50" t="s">
        <v>62</v>
      </c>
      <c r="G50" s="21" t="s">
        <v>71</v>
      </c>
    </row>
    <row r="51" spans="1:7">
      <c r="A51" s="15" t="s">
        <v>43</v>
      </c>
      <c r="B51" t="s">
        <v>72</v>
      </c>
      <c r="C51" t="s">
        <v>73</v>
      </c>
      <c r="D51" t="s">
        <v>74</v>
      </c>
      <c r="E51">
        <v>1</v>
      </c>
      <c r="F51" t="s">
        <v>62</v>
      </c>
      <c r="G51" s="21" t="s">
        <v>75</v>
      </c>
    </row>
    <row r="52" spans="1:7">
      <c r="A52" s="15" t="s">
        <v>43</v>
      </c>
      <c r="B52" t="s">
        <v>76</v>
      </c>
      <c r="C52" t="s">
        <v>77</v>
      </c>
      <c r="D52" t="s">
        <v>78</v>
      </c>
      <c r="E52">
        <v>1</v>
      </c>
      <c r="F52" t="s">
        <v>62</v>
      </c>
      <c r="G52" s="21" t="s">
        <v>79</v>
      </c>
    </row>
    <row r="53" spans="1:7">
      <c r="A53" s="14" t="s">
        <v>8</v>
      </c>
      <c r="G53" s="21"/>
    </row>
    <row r="54" spans="1:7">
      <c r="A54" s="15" t="s">
        <v>80</v>
      </c>
      <c r="B54" t="s">
        <v>81</v>
      </c>
      <c r="C54" t="s">
        <v>82</v>
      </c>
      <c r="D54" t="s">
        <v>83</v>
      </c>
      <c r="E54">
        <v>1</v>
      </c>
      <c r="F54" t="s">
        <v>62</v>
      </c>
      <c r="G54" s="21" t="s">
        <v>84</v>
      </c>
    </row>
    <row r="55" spans="1:7">
      <c r="A55" s="15" t="s">
        <v>80</v>
      </c>
      <c r="B55" t="s">
        <v>85</v>
      </c>
      <c r="C55" t="s">
        <v>86</v>
      </c>
      <c r="D55" t="s">
        <v>87</v>
      </c>
      <c r="E55">
        <v>1</v>
      </c>
      <c r="F55" t="s">
        <v>62</v>
      </c>
      <c r="G55" s="21" t="s">
        <v>88</v>
      </c>
    </row>
    <row r="56" spans="1:7">
      <c r="A56" s="15" t="s">
        <v>80</v>
      </c>
      <c r="B56" t="s">
        <v>89</v>
      </c>
      <c r="C56" t="s">
        <v>90</v>
      </c>
      <c r="D56" t="s">
        <v>91</v>
      </c>
      <c r="E56">
        <v>17</v>
      </c>
      <c r="F56" t="s">
        <v>92</v>
      </c>
      <c r="G56" s="21" t="s">
        <v>93</v>
      </c>
    </row>
    <row r="57" spans="1:7">
      <c r="A57" s="15" t="s">
        <v>80</v>
      </c>
      <c r="B57" t="s">
        <v>94</v>
      </c>
      <c r="C57" t="s">
        <v>95</v>
      </c>
      <c r="D57" t="s">
        <v>96</v>
      </c>
      <c r="E57">
        <v>4</v>
      </c>
      <c r="F57" t="s">
        <v>62</v>
      </c>
      <c r="G57" s="21" t="s">
        <v>97</v>
      </c>
    </row>
    <row r="58" spans="1:7">
      <c r="A58" s="15" t="s">
        <v>80</v>
      </c>
      <c r="B58" t="s">
        <v>98</v>
      </c>
      <c r="C58" t="s">
        <v>99</v>
      </c>
      <c r="D58" t="s">
        <v>100</v>
      </c>
      <c r="E58">
        <v>25</v>
      </c>
      <c r="F58" t="s">
        <v>101</v>
      </c>
      <c r="G58" s="21" t="s">
        <v>102</v>
      </c>
    </row>
    <row r="59" spans="1:7">
      <c r="A59" s="16" t="s">
        <v>24</v>
      </c>
      <c r="G59" s="21"/>
    </row>
    <row r="60" spans="1:7">
      <c r="A60" s="15" t="s">
        <v>103</v>
      </c>
      <c r="B60" t="s">
        <v>104</v>
      </c>
      <c r="C60" t="s">
        <v>105</v>
      </c>
      <c r="D60" t="s">
        <v>106</v>
      </c>
      <c r="E60">
        <v>2</v>
      </c>
      <c r="F60" t="s">
        <v>62</v>
      </c>
      <c r="G60" s="21" t="s">
        <v>107</v>
      </c>
    </row>
    <row r="61" spans="1:7">
      <c r="A61" s="15" t="s">
        <v>103</v>
      </c>
      <c r="B61" t="s">
        <v>108</v>
      </c>
      <c r="C61" t="s">
        <v>109</v>
      </c>
      <c r="D61" t="s">
        <v>110</v>
      </c>
      <c r="E61">
        <v>15</v>
      </c>
      <c r="F61" t="s">
        <v>111</v>
      </c>
      <c r="G61" s="21" t="s">
        <v>112</v>
      </c>
    </row>
    <row r="62" spans="1:7">
      <c r="A62" s="15" t="s">
        <v>103</v>
      </c>
      <c r="B62" t="s">
        <v>113</v>
      </c>
      <c r="C62" t="s">
        <v>114</v>
      </c>
      <c r="D62" t="s">
        <v>115</v>
      </c>
      <c r="E62">
        <v>1</v>
      </c>
      <c r="F62" t="s">
        <v>62</v>
      </c>
      <c r="G62" s="21" t="s">
        <v>116</v>
      </c>
    </row>
    <row r="63" spans="1:7">
      <c r="A63" s="15" t="s">
        <v>103</v>
      </c>
      <c r="B63" t="s">
        <v>117</v>
      </c>
      <c r="C63" t="s">
        <v>118</v>
      </c>
      <c r="D63" t="s">
        <v>119</v>
      </c>
      <c r="E63">
        <v>1</v>
      </c>
      <c r="F63" t="s">
        <v>62</v>
      </c>
      <c r="G63" s="21" t="s">
        <v>120</v>
      </c>
    </row>
    <row r="64" spans="1:7">
      <c r="A64" s="17" t="s">
        <v>121</v>
      </c>
      <c r="B64" s="18" t="s">
        <v>38</v>
      </c>
      <c r="C64" s="18" t="s">
        <v>122</v>
      </c>
      <c r="D64" s="18" t="s">
        <v>123</v>
      </c>
      <c r="E64" s="18" t="s">
        <v>124</v>
      </c>
      <c r="F64" s="18" t="s">
        <v>62</v>
      </c>
      <c r="G64" s="22" t="s">
        <v>125</v>
      </c>
    </row>
    <row r="65" spans="1:7">
      <c r="A65" s="2" t="s">
        <v>0</v>
      </c>
      <c r="B65" s="3" t="s">
        <v>1</v>
      </c>
      <c r="C65" s="4" t="s">
        <v>2</v>
      </c>
      <c r="D65" s="5" t="s">
        <v>3</v>
      </c>
      <c r="E65" s="9" t="s">
        <v>4</v>
      </c>
      <c r="F65" s="10" t="s">
        <v>5</v>
      </c>
      <c r="G65" s="11" t="s">
        <v>6</v>
      </c>
    </row>
    <row r="66" spans="1:7">
      <c r="A66" s="12" t="s">
        <v>127</v>
      </c>
      <c r="B66" s="13"/>
      <c r="C66" s="13"/>
      <c r="D66" s="13"/>
      <c r="E66" s="13"/>
      <c r="F66" s="13"/>
      <c r="G66" s="19"/>
    </row>
    <row r="67" spans="1:7">
      <c r="A67" s="14" t="s">
        <v>128</v>
      </c>
      <c r="B67" s="1"/>
      <c r="C67" s="1"/>
      <c r="D67" s="1"/>
      <c r="E67" s="1"/>
      <c r="F67" s="1"/>
      <c r="G67" s="20"/>
    </row>
    <row r="68" spans="1:7">
      <c r="A68" s="15" t="s">
        <v>9</v>
      </c>
      <c r="B68" t="s">
        <v>10</v>
      </c>
      <c r="C68" t="s">
        <v>11</v>
      </c>
      <c r="D68" t="s">
        <v>12</v>
      </c>
      <c r="E68">
        <v>25</v>
      </c>
      <c r="F68" t="s">
        <v>13</v>
      </c>
      <c r="G68" s="21" t="s">
        <v>14</v>
      </c>
    </row>
    <row r="69" spans="1:7">
      <c r="A69" s="15" t="s">
        <v>9</v>
      </c>
      <c r="B69" t="s">
        <v>15</v>
      </c>
      <c r="C69" t="s">
        <v>16</v>
      </c>
      <c r="D69" t="s">
        <v>17</v>
      </c>
      <c r="E69">
        <v>5</v>
      </c>
      <c r="F69" t="s">
        <v>13</v>
      </c>
      <c r="G69" s="21" t="s">
        <v>18</v>
      </c>
    </row>
    <row r="70" spans="1:7">
      <c r="A70" s="15" t="s">
        <v>9</v>
      </c>
      <c r="B70" t="s">
        <v>19</v>
      </c>
      <c r="C70" t="s">
        <v>20</v>
      </c>
      <c r="D70" t="s">
        <v>21</v>
      </c>
      <c r="E70">
        <v>10</v>
      </c>
      <c r="F70" t="s">
        <v>22</v>
      </c>
      <c r="G70" s="21" t="s">
        <v>23</v>
      </c>
    </row>
    <row r="71" spans="1:7">
      <c r="A71" s="16" t="s">
        <v>43</v>
      </c>
      <c r="G71" s="21"/>
    </row>
    <row r="72" spans="1:7">
      <c r="A72" s="15" t="s">
        <v>44</v>
      </c>
      <c r="B72" t="s">
        <v>45</v>
      </c>
      <c r="C72" t="s">
        <v>44</v>
      </c>
      <c r="D72" t="s">
        <v>46</v>
      </c>
      <c r="E72">
        <v>12</v>
      </c>
      <c r="F72" t="s">
        <v>47</v>
      </c>
      <c r="G72" s="21" t="s">
        <v>48</v>
      </c>
    </row>
    <row r="73" spans="1:7">
      <c r="A73" s="15" t="s">
        <v>43</v>
      </c>
      <c r="B73" t="s">
        <v>49</v>
      </c>
      <c r="C73" t="s">
        <v>50</v>
      </c>
      <c r="D73" t="s">
        <v>51</v>
      </c>
      <c r="E73">
        <v>4</v>
      </c>
      <c r="F73" t="s">
        <v>52</v>
      </c>
      <c r="G73" s="21" t="s">
        <v>53</v>
      </c>
    </row>
    <row r="74" spans="1:7">
      <c r="A74" s="15" t="s">
        <v>43</v>
      </c>
      <c r="B74" t="s">
        <v>54</v>
      </c>
      <c r="C74" t="s">
        <v>55</v>
      </c>
      <c r="D74" t="s">
        <v>56</v>
      </c>
      <c r="E74">
        <v>1</v>
      </c>
      <c r="F74" t="s">
        <v>57</v>
      </c>
      <c r="G74" s="21" t="s">
        <v>58</v>
      </c>
    </row>
    <row r="75" spans="1:7">
      <c r="A75" s="15" t="s">
        <v>43</v>
      </c>
      <c r="B75" t="s">
        <v>59</v>
      </c>
      <c r="C75" t="s">
        <v>60</v>
      </c>
      <c r="D75" t="s">
        <v>61</v>
      </c>
      <c r="E75">
        <v>10.384</v>
      </c>
      <c r="F75" t="s">
        <v>62</v>
      </c>
      <c r="G75" s="21" t="s">
        <v>63</v>
      </c>
    </row>
    <row r="76" spans="1:7">
      <c r="A76" s="15" t="s">
        <v>43</v>
      </c>
      <c r="B76" t="s">
        <v>64</v>
      </c>
      <c r="C76" t="s">
        <v>65</v>
      </c>
      <c r="D76" t="s">
        <v>66</v>
      </c>
      <c r="E76">
        <v>45</v>
      </c>
      <c r="F76" t="s">
        <v>13</v>
      </c>
      <c r="G76" s="21" t="s">
        <v>67</v>
      </c>
    </row>
    <row r="77" spans="1:7">
      <c r="A77" s="15" t="s">
        <v>43</v>
      </c>
      <c r="B77" t="s">
        <v>68</v>
      </c>
      <c r="C77" t="s">
        <v>69</v>
      </c>
      <c r="D77" t="s">
        <v>70</v>
      </c>
      <c r="E77">
        <v>2</v>
      </c>
      <c r="F77" t="s">
        <v>62</v>
      </c>
      <c r="G77" s="21" t="s">
        <v>71</v>
      </c>
    </row>
    <row r="78" spans="1:7">
      <c r="A78" s="15" t="s">
        <v>43</v>
      </c>
      <c r="B78" t="s">
        <v>72</v>
      </c>
      <c r="C78" t="s">
        <v>73</v>
      </c>
      <c r="D78" t="s">
        <v>74</v>
      </c>
      <c r="E78">
        <v>1</v>
      </c>
      <c r="F78" t="s">
        <v>62</v>
      </c>
      <c r="G78" s="21" t="s">
        <v>75</v>
      </c>
    </row>
    <row r="79" spans="1:7">
      <c r="A79" s="15" t="s">
        <v>43</v>
      </c>
      <c r="B79" t="s">
        <v>76</v>
      </c>
      <c r="C79" t="s">
        <v>77</v>
      </c>
      <c r="D79" t="s">
        <v>78</v>
      </c>
      <c r="E79">
        <v>1</v>
      </c>
      <c r="F79" t="s">
        <v>62</v>
      </c>
      <c r="G79" s="21" t="s">
        <v>79</v>
      </c>
    </row>
    <row r="80" spans="1:7">
      <c r="A80" s="14" t="s">
        <v>8</v>
      </c>
      <c r="G80" s="21"/>
    </row>
    <row r="81" spans="1:7">
      <c r="A81" s="15" t="s">
        <v>80</v>
      </c>
      <c r="B81" t="s">
        <v>81</v>
      </c>
      <c r="C81" t="s">
        <v>82</v>
      </c>
      <c r="D81" t="s">
        <v>83</v>
      </c>
      <c r="E81">
        <v>1</v>
      </c>
      <c r="F81" t="s">
        <v>62</v>
      </c>
      <c r="G81" s="21" t="s">
        <v>84</v>
      </c>
    </row>
    <row r="82" spans="1:7">
      <c r="A82" s="15" t="s">
        <v>80</v>
      </c>
      <c r="B82" t="s">
        <v>85</v>
      </c>
      <c r="C82" t="s">
        <v>86</v>
      </c>
      <c r="D82" t="s">
        <v>87</v>
      </c>
      <c r="E82">
        <v>1</v>
      </c>
      <c r="F82" t="s">
        <v>62</v>
      </c>
      <c r="G82" s="21" t="s">
        <v>88</v>
      </c>
    </row>
    <row r="83" spans="1:7">
      <c r="A83" s="15" t="s">
        <v>80</v>
      </c>
      <c r="B83" t="s">
        <v>89</v>
      </c>
      <c r="C83" t="s">
        <v>90</v>
      </c>
      <c r="D83" t="s">
        <v>91</v>
      </c>
      <c r="E83">
        <v>15</v>
      </c>
      <c r="F83" t="s">
        <v>92</v>
      </c>
      <c r="G83" s="21">
        <f>10^(E83/10)</f>
        <v>31.6227766016838</v>
      </c>
    </row>
    <row r="84" spans="1:7">
      <c r="A84" s="15" t="s">
        <v>80</v>
      </c>
      <c r="B84" t="s">
        <v>94</v>
      </c>
      <c r="C84" t="s">
        <v>95</v>
      </c>
      <c r="D84" t="s">
        <v>96</v>
      </c>
      <c r="E84">
        <v>10</v>
      </c>
      <c r="F84" t="s">
        <v>62</v>
      </c>
      <c r="G84" s="21" t="s">
        <v>97</v>
      </c>
    </row>
    <row r="85" spans="1:7">
      <c r="A85" s="15" t="s">
        <v>80</v>
      </c>
      <c r="B85" t="s">
        <v>98</v>
      </c>
      <c r="C85" t="s">
        <v>99</v>
      </c>
      <c r="D85" t="s">
        <v>100</v>
      </c>
      <c r="E85">
        <v>15</v>
      </c>
      <c r="F85" t="s">
        <v>101</v>
      </c>
      <c r="G85" s="21" t="s">
        <v>102</v>
      </c>
    </row>
    <row r="86" spans="1:7">
      <c r="A86" s="14" t="s">
        <v>129</v>
      </c>
      <c r="B86" s="1"/>
      <c r="C86" s="1"/>
      <c r="D86" s="1"/>
      <c r="E86" s="1"/>
      <c r="F86" s="1"/>
      <c r="G86" s="20"/>
    </row>
    <row r="87" spans="1:7">
      <c r="A87" s="15" t="s">
        <v>9</v>
      </c>
      <c r="B87" t="s">
        <v>10</v>
      </c>
      <c r="C87" t="s">
        <v>11</v>
      </c>
      <c r="D87" t="s">
        <v>12</v>
      </c>
      <c r="E87">
        <v>25</v>
      </c>
      <c r="F87" t="s">
        <v>13</v>
      </c>
      <c r="G87" s="21" t="s">
        <v>14</v>
      </c>
    </row>
    <row r="88" spans="1:7">
      <c r="A88" s="15" t="s">
        <v>9</v>
      </c>
      <c r="B88" t="s">
        <v>15</v>
      </c>
      <c r="C88" t="s">
        <v>16</v>
      </c>
      <c r="D88" t="s">
        <v>17</v>
      </c>
      <c r="E88">
        <v>5</v>
      </c>
      <c r="F88" t="s">
        <v>13</v>
      </c>
      <c r="G88" s="21" t="s">
        <v>18</v>
      </c>
    </row>
    <row r="89" spans="1:7">
      <c r="A89" s="15" t="s">
        <v>9</v>
      </c>
      <c r="B89" t="s">
        <v>19</v>
      </c>
      <c r="C89" t="s">
        <v>20</v>
      </c>
      <c r="D89" t="s">
        <v>21</v>
      </c>
      <c r="E89">
        <v>1000</v>
      </c>
      <c r="F89" t="s">
        <v>22</v>
      </c>
      <c r="G89" s="21" t="s">
        <v>23</v>
      </c>
    </row>
    <row r="90" customFormat="1" spans="1:7">
      <c r="A90" s="16" t="s">
        <v>24</v>
      </c>
      <c r="G90" s="21"/>
    </row>
    <row r="91" spans="1:7">
      <c r="A91" s="15" t="s">
        <v>103</v>
      </c>
      <c r="B91" t="s">
        <v>104</v>
      </c>
      <c r="C91" t="s">
        <v>105</v>
      </c>
      <c r="D91" t="s">
        <v>106</v>
      </c>
      <c r="E91">
        <v>2</v>
      </c>
      <c r="F91" t="s">
        <v>62</v>
      </c>
      <c r="G91" s="21" t="s">
        <v>107</v>
      </c>
    </row>
    <row r="92" spans="1:7">
      <c r="A92" s="15" t="s">
        <v>103</v>
      </c>
      <c r="B92" t="s">
        <v>108</v>
      </c>
      <c r="C92" t="s">
        <v>109</v>
      </c>
      <c r="D92" t="s">
        <v>110</v>
      </c>
      <c r="E92">
        <v>15</v>
      </c>
      <c r="F92" t="s">
        <v>111</v>
      </c>
      <c r="G92" s="21" t="s">
        <v>112</v>
      </c>
    </row>
    <row r="93" spans="1:7">
      <c r="A93" s="15" t="s">
        <v>103</v>
      </c>
      <c r="B93" t="s">
        <v>113</v>
      </c>
      <c r="C93" t="s">
        <v>114</v>
      </c>
      <c r="D93" t="s">
        <v>115</v>
      </c>
      <c r="E93">
        <v>1</v>
      </c>
      <c r="F93" t="s">
        <v>62</v>
      </c>
      <c r="G93" s="21" t="s">
        <v>116</v>
      </c>
    </row>
    <row r="94" spans="1:7">
      <c r="A94" s="15" t="s">
        <v>103</v>
      </c>
      <c r="B94" t="s">
        <v>117</v>
      </c>
      <c r="C94" t="s">
        <v>118</v>
      </c>
      <c r="D94" t="s">
        <v>119</v>
      </c>
      <c r="E94">
        <v>1</v>
      </c>
      <c r="F94" t="s">
        <v>62</v>
      </c>
      <c r="G94" s="21" t="s">
        <v>120</v>
      </c>
    </row>
    <row r="95" spans="1:7">
      <c r="A95" s="17" t="s">
        <v>121</v>
      </c>
      <c r="B95" s="18" t="s">
        <v>38</v>
      </c>
      <c r="C95" s="18" t="s">
        <v>122</v>
      </c>
      <c r="D95" s="18" t="s">
        <v>123</v>
      </c>
      <c r="E95" s="18" t="s">
        <v>124</v>
      </c>
      <c r="F95" s="18" t="s">
        <v>62</v>
      </c>
      <c r="G95" s="22" t="s">
        <v>125</v>
      </c>
    </row>
    <row r="96" spans="1:7">
      <c r="A96" s="15"/>
      <c r="G96" s="21"/>
    </row>
    <row r="97" spans="1:7">
      <c r="A97" s="15"/>
      <c r="G97" s="21"/>
    </row>
    <row r="98" spans="1:7">
      <c r="A98" s="15"/>
      <c r="G98" s="21"/>
    </row>
    <row r="99" customFormat="1" spans="1:7">
      <c r="A99" s="14"/>
      <c r="G99" s="21"/>
    </row>
    <row r="100" spans="1:7">
      <c r="A100" s="15"/>
      <c r="G100" s="21"/>
    </row>
    <row r="101" spans="1:7">
      <c r="A101" s="15"/>
      <c r="G101" s="21"/>
    </row>
    <row r="102" spans="1:7">
      <c r="A102" s="15"/>
      <c r="G102" s="21"/>
    </row>
    <row r="103" spans="1:7">
      <c r="A103" s="15"/>
      <c r="G103" s="21"/>
    </row>
    <row r="104" spans="1:7">
      <c r="A104" s="15"/>
      <c r="G104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82" zoomScaleNormal="82" workbookViewId="0">
      <selection activeCell="A1" sqref="A1:G32"/>
    </sheetView>
  </sheetViews>
  <sheetFormatPr defaultColWidth="9" defaultRowHeight="16.8" outlineLevelCol="6"/>
  <cols>
    <col min="1" max="1" width="12.375" customWidth="1"/>
    <col min="2" max="2" width="7.421875" customWidth="1"/>
    <col min="3" max="3" width="26.6875" customWidth="1"/>
    <col min="4" max="4" width="24.8671875" customWidth="1"/>
    <col min="5" max="5" width="17.578125" customWidth="1"/>
    <col min="6" max="6" width="18.75" customWidth="1"/>
    <col min="7" max="7" width="56.125" customWidth="1"/>
  </cols>
  <sheetData>
    <row r="1" spans="1:7">
      <c r="A1" s="2" t="s">
        <v>0</v>
      </c>
      <c r="B1" s="3" t="s">
        <v>1</v>
      </c>
      <c r="C1" s="4" t="s">
        <v>2</v>
      </c>
      <c r="D1" s="5" t="s">
        <v>3</v>
      </c>
      <c r="E1" s="9" t="s">
        <v>4</v>
      </c>
      <c r="F1" s="10" t="s">
        <v>5</v>
      </c>
      <c r="G1" s="11" t="s">
        <v>6</v>
      </c>
    </row>
    <row r="2" s="1" customFormat="1" spans="1:1">
      <c r="A2" s="6" t="s">
        <v>130</v>
      </c>
    </row>
    <row r="3" s="1" customFormat="1" spans="1:1">
      <c r="A3" s="7" t="s">
        <v>8</v>
      </c>
    </row>
    <row r="4" spans="1:7">
      <c r="A4" t="s">
        <v>9</v>
      </c>
      <c r="B4" t="s">
        <v>10</v>
      </c>
      <c r="C4" t="s">
        <v>11</v>
      </c>
      <c r="D4" t="s">
        <v>12</v>
      </c>
      <c r="E4">
        <v>25</v>
      </c>
      <c r="F4" t="s">
        <v>13</v>
      </c>
      <c r="G4" t="s">
        <v>14</v>
      </c>
    </row>
    <row r="5" spans="1:7">
      <c r="A5" t="s">
        <v>9</v>
      </c>
      <c r="B5" t="s">
        <v>15</v>
      </c>
      <c r="C5" t="s">
        <v>16</v>
      </c>
      <c r="D5" t="s">
        <v>17</v>
      </c>
      <c r="E5">
        <v>5</v>
      </c>
      <c r="F5" t="s">
        <v>13</v>
      </c>
      <c r="G5" t="s">
        <v>18</v>
      </c>
    </row>
    <row r="6" spans="1:7">
      <c r="A6" t="s">
        <v>9</v>
      </c>
      <c r="B6" t="s">
        <v>19</v>
      </c>
      <c r="C6" t="s">
        <v>20</v>
      </c>
      <c r="D6" t="s">
        <v>21</v>
      </c>
      <c r="E6">
        <v>384400</v>
      </c>
      <c r="F6" t="s">
        <v>22</v>
      </c>
      <c r="G6" t="s">
        <v>23</v>
      </c>
    </row>
    <row r="7" spans="1:1">
      <c r="A7" s="8" t="s">
        <v>24</v>
      </c>
    </row>
    <row r="8" spans="1:7">
      <c r="A8" t="s">
        <v>9</v>
      </c>
      <c r="B8" t="s">
        <v>25</v>
      </c>
      <c r="C8" t="s">
        <v>26</v>
      </c>
      <c r="D8" t="s">
        <v>27</v>
      </c>
      <c r="E8">
        <v>17.43</v>
      </c>
      <c r="F8" t="s">
        <v>13</v>
      </c>
      <c r="G8" t="s">
        <v>131</v>
      </c>
    </row>
    <row r="9" spans="1:7">
      <c r="A9" t="s">
        <v>9</v>
      </c>
      <c r="B9" t="s">
        <v>29</v>
      </c>
      <c r="C9" t="s">
        <v>30</v>
      </c>
      <c r="D9" t="s">
        <v>31</v>
      </c>
      <c r="E9">
        <v>78.35</v>
      </c>
      <c r="F9" t="s">
        <v>13</v>
      </c>
      <c r="G9" t="s">
        <v>132</v>
      </c>
    </row>
    <row r="10" spans="1:7">
      <c r="A10" t="s">
        <v>9</v>
      </c>
      <c r="B10" t="s">
        <v>33</v>
      </c>
      <c r="C10" t="s">
        <v>34</v>
      </c>
      <c r="D10" t="s">
        <v>35</v>
      </c>
      <c r="E10">
        <v>20</v>
      </c>
      <c r="F10" t="s">
        <v>36</v>
      </c>
      <c r="G10" t="s">
        <v>133</v>
      </c>
    </row>
    <row r="11" spans="1:7">
      <c r="A11" t="s">
        <v>9</v>
      </c>
      <c r="B11" t="s">
        <v>38</v>
      </c>
      <c r="C11" t="s">
        <v>39</v>
      </c>
      <c r="D11" t="s">
        <v>40</v>
      </c>
      <c r="E11" t="s">
        <v>41</v>
      </c>
      <c r="F11" t="s">
        <v>13</v>
      </c>
      <c r="G11" t="s">
        <v>42</v>
      </c>
    </row>
    <row r="12" spans="1:1">
      <c r="A12" s="8" t="s">
        <v>43</v>
      </c>
    </row>
    <row r="13" spans="1:7">
      <c r="A13" t="s">
        <v>44</v>
      </c>
      <c r="B13" t="s">
        <v>45</v>
      </c>
      <c r="C13" t="s">
        <v>44</v>
      </c>
      <c r="D13" t="s">
        <v>46</v>
      </c>
      <c r="E13">
        <v>8</v>
      </c>
      <c r="F13" t="s">
        <v>47</v>
      </c>
      <c r="G13" t="s">
        <v>48</v>
      </c>
    </row>
    <row r="14" spans="1:7">
      <c r="A14" t="s">
        <v>43</v>
      </c>
      <c r="B14" t="s">
        <v>49</v>
      </c>
      <c r="C14" t="s">
        <v>50</v>
      </c>
      <c r="D14" t="s">
        <v>51</v>
      </c>
      <c r="E14">
        <v>4</v>
      </c>
      <c r="F14" t="s">
        <v>52</v>
      </c>
      <c r="G14" t="s">
        <v>53</v>
      </c>
    </row>
    <row r="15" spans="1:7">
      <c r="A15" t="s">
        <v>43</v>
      </c>
      <c r="B15" t="s">
        <v>54</v>
      </c>
      <c r="C15" t="s">
        <v>55</v>
      </c>
      <c r="D15" t="s">
        <v>56</v>
      </c>
      <c r="E15">
        <v>100</v>
      </c>
      <c r="F15" t="s">
        <v>57</v>
      </c>
      <c r="G15" t="s">
        <v>58</v>
      </c>
    </row>
    <row r="16" spans="1:7">
      <c r="A16" t="s">
        <v>43</v>
      </c>
      <c r="B16" t="s">
        <v>59</v>
      </c>
      <c r="C16" t="s">
        <v>60</v>
      </c>
      <c r="D16" t="s">
        <v>61</v>
      </c>
      <c r="E16">
        <v>5</v>
      </c>
      <c r="F16" t="s">
        <v>62</v>
      </c>
      <c r="G16" t="s">
        <v>63</v>
      </c>
    </row>
    <row r="17" spans="1:7">
      <c r="A17" t="s">
        <v>43</v>
      </c>
      <c r="B17" t="s">
        <v>64</v>
      </c>
      <c r="C17" t="s">
        <v>65</v>
      </c>
      <c r="D17" t="s">
        <v>66</v>
      </c>
      <c r="E17">
        <v>45</v>
      </c>
      <c r="F17" t="s">
        <v>13</v>
      </c>
      <c r="G17" t="s">
        <v>134</v>
      </c>
    </row>
    <row r="18" spans="1:7">
      <c r="A18" t="s">
        <v>43</v>
      </c>
      <c r="B18" t="s">
        <v>68</v>
      </c>
      <c r="C18" t="s">
        <v>69</v>
      </c>
      <c r="D18" t="s">
        <v>70</v>
      </c>
      <c r="E18">
        <v>2</v>
      </c>
      <c r="F18" t="s">
        <v>62</v>
      </c>
      <c r="G18" t="s">
        <v>71</v>
      </c>
    </row>
    <row r="19" spans="1:7">
      <c r="A19" t="s">
        <v>43</v>
      </c>
      <c r="B19" t="s">
        <v>72</v>
      </c>
      <c r="C19" t="s">
        <v>73</v>
      </c>
      <c r="D19" t="s">
        <v>74</v>
      </c>
      <c r="E19">
        <v>1</v>
      </c>
      <c r="F19" t="s">
        <v>62</v>
      </c>
      <c r="G19" t="s">
        <v>75</v>
      </c>
    </row>
    <row r="20" spans="1:7">
      <c r="A20" t="s">
        <v>43</v>
      </c>
      <c r="B20" t="s">
        <v>76</v>
      </c>
      <c r="C20" t="s">
        <v>77</v>
      </c>
      <c r="D20" t="s">
        <v>78</v>
      </c>
      <c r="E20">
        <v>1</v>
      </c>
      <c r="F20" t="s">
        <v>62</v>
      </c>
      <c r="G20" t="s">
        <v>79</v>
      </c>
    </row>
    <row r="21" spans="1:1">
      <c r="A21" s="7" t="s">
        <v>8</v>
      </c>
    </row>
    <row r="22" spans="1:7">
      <c r="A22" t="s">
        <v>80</v>
      </c>
      <c r="B22" t="s">
        <v>81</v>
      </c>
      <c r="C22" t="s">
        <v>82</v>
      </c>
      <c r="D22" t="s">
        <v>83</v>
      </c>
      <c r="E22">
        <v>1</v>
      </c>
      <c r="F22" t="s">
        <v>62</v>
      </c>
      <c r="G22" t="s">
        <v>84</v>
      </c>
    </row>
    <row r="23" spans="1:7">
      <c r="A23" t="s">
        <v>80</v>
      </c>
      <c r="B23" t="s">
        <v>85</v>
      </c>
      <c r="C23" t="s">
        <v>86</v>
      </c>
      <c r="D23" t="s">
        <v>87</v>
      </c>
      <c r="E23">
        <v>1</v>
      </c>
      <c r="F23" t="s">
        <v>62</v>
      </c>
      <c r="G23" t="s">
        <v>88</v>
      </c>
    </row>
    <row r="24" spans="1:7">
      <c r="A24" t="s">
        <v>80</v>
      </c>
      <c r="B24" t="s">
        <v>89</v>
      </c>
      <c r="C24" t="s">
        <v>90</v>
      </c>
      <c r="D24" t="s">
        <v>91</v>
      </c>
      <c r="E24">
        <v>17</v>
      </c>
      <c r="F24" t="s">
        <v>92</v>
      </c>
      <c r="G24" t="s">
        <v>93</v>
      </c>
    </row>
    <row r="25" spans="1:7">
      <c r="A25" t="s">
        <v>80</v>
      </c>
      <c r="B25" t="s">
        <v>94</v>
      </c>
      <c r="C25" t="s">
        <v>95</v>
      </c>
      <c r="D25" t="s">
        <v>96</v>
      </c>
      <c r="E25">
        <v>4</v>
      </c>
      <c r="F25" t="s">
        <v>62</v>
      </c>
      <c r="G25" t="s">
        <v>97</v>
      </c>
    </row>
    <row r="26" spans="1:7">
      <c r="A26" t="s">
        <v>80</v>
      </c>
      <c r="B26" t="s">
        <v>98</v>
      </c>
      <c r="C26" t="s">
        <v>99</v>
      </c>
      <c r="D26" t="s">
        <v>100</v>
      </c>
      <c r="E26">
        <v>25</v>
      </c>
      <c r="F26" t="s">
        <v>101</v>
      </c>
      <c r="G26" t="s">
        <v>102</v>
      </c>
    </row>
    <row r="27" spans="1:1">
      <c r="A27" s="8" t="s">
        <v>24</v>
      </c>
    </row>
    <row r="28" spans="1:7">
      <c r="A28" t="s">
        <v>103</v>
      </c>
      <c r="B28" t="s">
        <v>104</v>
      </c>
      <c r="C28" t="s">
        <v>105</v>
      </c>
      <c r="D28" t="s">
        <v>106</v>
      </c>
      <c r="E28">
        <v>2</v>
      </c>
      <c r="F28" t="s">
        <v>62</v>
      </c>
      <c r="G28" t="s">
        <v>107</v>
      </c>
    </row>
    <row r="29" spans="1:7">
      <c r="A29" t="s">
        <v>103</v>
      </c>
      <c r="B29" t="s">
        <v>108</v>
      </c>
      <c r="C29" t="s">
        <v>109</v>
      </c>
      <c r="D29" t="s">
        <v>110</v>
      </c>
      <c r="E29">
        <v>15</v>
      </c>
      <c r="F29" t="s">
        <v>111</v>
      </c>
      <c r="G29" t="s">
        <v>112</v>
      </c>
    </row>
    <row r="30" spans="1:7">
      <c r="A30" t="s">
        <v>103</v>
      </c>
      <c r="B30" t="s">
        <v>113</v>
      </c>
      <c r="C30" t="s">
        <v>114</v>
      </c>
      <c r="D30" t="s">
        <v>115</v>
      </c>
      <c r="E30">
        <v>1</v>
      </c>
      <c r="F30" t="s">
        <v>62</v>
      </c>
      <c r="G30" t="s">
        <v>116</v>
      </c>
    </row>
    <row r="31" spans="1:7">
      <c r="A31" t="s">
        <v>103</v>
      </c>
      <c r="B31" t="s">
        <v>117</v>
      </c>
      <c r="C31" t="s">
        <v>118</v>
      </c>
      <c r="D31" t="s">
        <v>119</v>
      </c>
      <c r="E31">
        <v>1</v>
      </c>
      <c r="F31" t="s">
        <v>62</v>
      </c>
      <c r="G31" t="s">
        <v>120</v>
      </c>
    </row>
    <row r="32" spans="1:7">
      <c r="A32" t="s">
        <v>121</v>
      </c>
      <c r="B32" t="s">
        <v>38</v>
      </c>
      <c r="C32" t="s">
        <v>122</v>
      </c>
      <c r="D32" t="s">
        <v>123</v>
      </c>
      <c r="E32" t="s">
        <v>124</v>
      </c>
      <c r="F32" t="s">
        <v>62</v>
      </c>
      <c r="G32" t="s">
        <v>125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82" zoomScaleNormal="82" workbookViewId="0">
      <selection activeCell="C12" sqref="C12"/>
    </sheetView>
  </sheetViews>
  <sheetFormatPr defaultColWidth="9" defaultRowHeight="16.8" outlineLevelCol="6"/>
  <cols>
    <col min="1" max="1" width="12.375" customWidth="1"/>
    <col min="2" max="2" width="7.421875" customWidth="1"/>
    <col min="3" max="3" width="26.6875" customWidth="1"/>
    <col min="4" max="4" width="24.8671875" customWidth="1"/>
    <col min="5" max="5" width="17.578125" customWidth="1"/>
    <col min="6" max="6" width="18.75" customWidth="1"/>
    <col min="7" max="7" width="56.125" customWidth="1"/>
  </cols>
  <sheetData>
    <row r="1" spans="1:7">
      <c r="A1" s="2" t="s">
        <v>0</v>
      </c>
      <c r="B1" s="3" t="s">
        <v>1</v>
      </c>
      <c r="C1" s="4" t="s">
        <v>2</v>
      </c>
      <c r="D1" s="5" t="s">
        <v>3</v>
      </c>
      <c r="E1" s="9" t="s">
        <v>4</v>
      </c>
      <c r="F1" s="10" t="s">
        <v>5</v>
      </c>
      <c r="G1" s="11" t="s">
        <v>6</v>
      </c>
    </row>
    <row r="2" s="1" customFormat="1" spans="1:1">
      <c r="A2" s="6" t="s">
        <v>135</v>
      </c>
    </row>
    <row r="3" s="1" customFormat="1" spans="1:1">
      <c r="A3" s="7" t="s">
        <v>8</v>
      </c>
    </row>
    <row r="4" spans="1:7">
      <c r="A4" t="s">
        <v>9</v>
      </c>
      <c r="B4" t="s">
        <v>10</v>
      </c>
      <c r="C4" t="s">
        <v>11</v>
      </c>
      <c r="D4" t="s">
        <v>12</v>
      </c>
      <c r="E4">
        <v>25</v>
      </c>
      <c r="F4" t="s">
        <v>13</v>
      </c>
      <c r="G4" t="s">
        <v>14</v>
      </c>
    </row>
    <row r="5" spans="1:7">
      <c r="A5" t="s">
        <v>9</v>
      </c>
      <c r="B5" t="s">
        <v>15</v>
      </c>
      <c r="C5" t="s">
        <v>16</v>
      </c>
      <c r="D5" t="s">
        <v>17</v>
      </c>
      <c r="E5">
        <v>5</v>
      </c>
      <c r="F5" t="s">
        <v>13</v>
      </c>
      <c r="G5" t="s">
        <v>18</v>
      </c>
    </row>
    <row r="6" spans="1:7">
      <c r="A6" t="s">
        <v>9</v>
      </c>
      <c r="B6" t="s">
        <v>19</v>
      </c>
      <c r="C6" t="s">
        <v>20</v>
      </c>
      <c r="D6" t="s">
        <v>21</v>
      </c>
      <c r="E6">
        <v>384400</v>
      </c>
      <c r="F6" t="s">
        <v>22</v>
      </c>
      <c r="G6" t="s">
        <v>23</v>
      </c>
    </row>
    <row r="7" spans="1:1">
      <c r="A7" s="8" t="s">
        <v>24</v>
      </c>
    </row>
    <row r="8" spans="1:7">
      <c r="A8" t="s">
        <v>9</v>
      </c>
      <c r="B8" t="s">
        <v>25</v>
      </c>
      <c r="C8" t="s">
        <v>26</v>
      </c>
      <c r="D8" t="s">
        <v>27</v>
      </c>
      <c r="E8">
        <v>17.43</v>
      </c>
      <c r="F8" t="s">
        <v>13</v>
      </c>
      <c r="G8" t="s">
        <v>131</v>
      </c>
    </row>
    <row r="9" spans="1:7">
      <c r="A9" t="s">
        <v>9</v>
      </c>
      <c r="B9" t="s">
        <v>29</v>
      </c>
      <c r="C9" t="s">
        <v>30</v>
      </c>
      <c r="D9" t="s">
        <v>31</v>
      </c>
      <c r="E9">
        <v>78.35</v>
      </c>
      <c r="F9" t="s">
        <v>13</v>
      </c>
      <c r="G9" t="s">
        <v>132</v>
      </c>
    </row>
    <row r="10" spans="1:7">
      <c r="A10" t="s">
        <v>9</v>
      </c>
      <c r="B10" t="s">
        <v>33</v>
      </c>
      <c r="C10" t="s">
        <v>34</v>
      </c>
      <c r="D10" t="s">
        <v>35</v>
      </c>
      <c r="E10">
        <v>20</v>
      </c>
      <c r="F10" t="s">
        <v>36</v>
      </c>
      <c r="G10" t="s">
        <v>133</v>
      </c>
    </row>
    <row r="11" spans="1:7">
      <c r="A11" t="s">
        <v>9</v>
      </c>
      <c r="B11" t="s">
        <v>38</v>
      </c>
      <c r="C11" t="s">
        <v>39</v>
      </c>
      <c r="D11" t="s">
        <v>40</v>
      </c>
      <c r="E11" t="s">
        <v>41</v>
      </c>
      <c r="F11" t="s">
        <v>13</v>
      </c>
      <c r="G11" t="s">
        <v>42</v>
      </c>
    </row>
    <row r="12" spans="1:1">
      <c r="A12" s="8" t="s">
        <v>43</v>
      </c>
    </row>
    <row r="13" spans="1:7">
      <c r="A13" t="s">
        <v>44</v>
      </c>
      <c r="B13" t="s">
        <v>45</v>
      </c>
      <c r="C13" t="s">
        <v>44</v>
      </c>
      <c r="D13" t="s">
        <v>46</v>
      </c>
      <c r="E13">
        <v>8</v>
      </c>
      <c r="F13" t="s">
        <v>47</v>
      </c>
      <c r="G13" t="s">
        <v>48</v>
      </c>
    </row>
    <row r="14" spans="1:7">
      <c r="A14" t="s">
        <v>43</v>
      </c>
      <c r="B14" t="s">
        <v>49</v>
      </c>
      <c r="C14" t="s">
        <v>50</v>
      </c>
      <c r="D14" t="s">
        <v>51</v>
      </c>
      <c r="E14">
        <v>4</v>
      </c>
      <c r="F14" t="s">
        <v>52</v>
      </c>
      <c r="G14" t="s">
        <v>53</v>
      </c>
    </row>
    <row r="15" spans="1:7">
      <c r="A15" t="s">
        <v>43</v>
      </c>
      <c r="B15" t="s">
        <v>54</v>
      </c>
      <c r="C15" t="s">
        <v>55</v>
      </c>
      <c r="D15" t="s">
        <v>56</v>
      </c>
      <c r="E15">
        <v>100</v>
      </c>
      <c r="F15" t="s">
        <v>57</v>
      </c>
      <c r="G15" t="s">
        <v>58</v>
      </c>
    </row>
    <row r="16" spans="1:7">
      <c r="A16" t="s">
        <v>43</v>
      </c>
      <c r="B16" t="s">
        <v>59</v>
      </c>
      <c r="C16" t="s">
        <v>60</v>
      </c>
      <c r="D16" t="s">
        <v>61</v>
      </c>
      <c r="E16">
        <v>5</v>
      </c>
      <c r="F16" t="s">
        <v>62</v>
      </c>
      <c r="G16" t="s">
        <v>63</v>
      </c>
    </row>
    <row r="17" spans="1:7">
      <c r="A17" t="s">
        <v>43</v>
      </c>
      <c r="B17" t="s">
        <v>64</v>
      </c>
      <c r="C17" t="s">
        <v>65</v>
      </c>
      <c r="D17" t="s">
        <v>66</v>
      </c>
      <c r="E17">
        <v>45</v>
      </c>
      <c r="F17" t="s">
        <v>13</v>
      </c>
      <c r="G17" t="s">
        <v>134</v>
      </c>
    </row>
    <row r="18" spans="1:7">
      <c r="A18" t="s">
        <v>43</v>
      </c>
      <c r="B18" t="s">
        <v>68</v>
      </c>
      <c r="C18" t="s">
        <v>69</v>
      </c>
      <c r="D18" t="s">
        <v>70</v>
      </c>
      <c r="E18">
        <v>2</v>
      </c>
      <c r="F18" t="s">
        <v>62</v>
      </c>
      <c r="G18" t="s">
        <v>71</v>
      </c>
    </row>
    <row r="19" spans="1:7">
      <c r="A19" t="s">
        <v>43</v>
      </c>
      <c r="B19" t="s">
        <v>72</v>
      </c>
      <c r="C19" t="s">
        <v>73</v>
      </c>
      <c r="D19" t="s">
        <v>74</v>
      </c>
      <c r="E19">
        <v>1</v>
      </c>
      <c r="F19" t="s">
        <v>62</v>
      </c>
      <c r="G19" t="s">
        <v>75</v>
      </c>
    </row>
    <row r="20" spans="1:7">
      <c r="A20" t="s">
        <v>43</v>
      </c>
      <c r="B20" t="s">
        <v>76</v>
      </c>
      <c r="C20" t="s">
        <v>77</v>
      </c>
      <c r="D20" t="s">
        <v>78</v>
      </c>
      <c r="E20">
        <v>1</v>
      </c>
      <c r="F20" t="s">
        <v>62</v>
      </c>
      <c r="G20" t="s">
        <v>79</v>
      </c>
    </row>
    <row r="21" spans="1:1">
      <c r="A21" s="7" t="s">
        <v>8</v>
      </c>
    </row>
    <row r="22" spans="1:7">
      <c r="A22" t="s">
        <v>80</v>
      </c>
      <c r="B22" t="s">
        <v>81</v>
      </c>
      <c r="C22" t="s">
        <v>82</v>
      </c>
      <c r="D22" t="s">
        <v>83</v>
      </c>
      <c r="E22">
        <v>1</v>
      </c>
      <c r="F22" t="s">
        <v>62</v>
      </c>
      <c r="G22" t="s">
        <v>84</v>
      </c>
    </row>
    <row r="23" spans="1:7">
      <c r="A23" t="s">
        <v>80</v>
      </c>
      <c r="B23" t="s">
        <v>85</v>
      </c>
      <c r="C23" t="s">
        <v>86</v>
      </c>
      <c r="D23" t="s">
        <v>87</v>
      </c>
      <c r="E23">
        <v>1</v>
      </c>
      <c r="F23" t="s">
        <v>62</v>
      </c>
      <c r="G23" t="s">
        <v>88</v>
      </c>
    </row>
    <row r="24" spans="1:7">
      <c r="A24" t="s">
        <v>80</v>
      </c>
      <c r="B24" t="s">
        <v>89</v>
      </c>
      <c r="C24" t="s">
        <v>90</v>
      </c>
      <c r="D24" t="s">
        <v>91</v>
      </c>
      <c r="E24">
        <v>17</v>
      </c>
      <c r="F24" t="s">
        <v>92</v>
      </c>
      <c r="G24" t="s">
        <v>93</v>
      </c>
    </row>
    <row r="25" spans="1:7">
      <c r="A25" t="s">
        <v>80</v>
      </c>
      <c r="B25" t="s">
        <v>94</v>
      </c>
      <c r="C25" t="s">
        <v>95</v>
      </c>
      <c r="D25" t="s">
        <v>96</v>
      </c>
      <c r="E25">
        <v>4</v>
      </c>
      <c r="F25" t="s">
        <v>62</v>
      </c>
      <c r="G25" t="s">
        <v>97</v>
      </c>
    </row>
    <row r="26" spans="1:7">
      <c r="A26" t="s">
        <v>80</v>
      </c>
      <c r="B26" t="s">
        <v>98</v>
      </c>
      <c r="C26" t="s">
        <v>99</v>
      </c>
      <c r="D26" t="s">
        <v>100</v>
      </c>
      <c r="E26">
        <v>25</v>
      </c>
      <c r="F26" t="s">
        <v>101</v>
      </c>
      <c r="G26" t="s">
        <v>102</v>
      </c>
    </row>
    <row r="27" spans="1:1">
      <c r="A27" s="8" t="s">
        <v>24</v>
      </c>
    </row>
    <row r="28" spans="1:7">
      <c r="A28" t="s">
        <v>103</v>
      </c>
      <c r="B28" t="s">
        <v>104</v>
      </c>
      <c r="C28" t="s">
        <v>105</v>
      </c>
      <c r="D28" t="s">
        <v>106</v>
      </c>
      <c r="E28">
        <v>2</v>
      </c>
      <c r="F28" t="s">
        <v>62</v>
      </c>
      <c r="G28" t="s">
        <v>107</v>
      </c>
    </row>
    <row r="29" spans="1:7">
      <c r="A29" t="s">
        <v>103</v>
      </c>
      <c r="B29" t="s">
        <v>108</v>
      </c>
      <c r="C29" t="s">
        <v>109</v>
      </c>
      <c r="D29" t="s">
        <v>110</v>
      </c>
      <c r="E29">
        <v>15</v>
      </c>
      <c r="F29" t="s">
        <v>111</v>
      </c>
      <c r="G29" t="s">
        <v>112</v>
      </c>
    </row>
    <row r="30" spans="1:7">
      <c r="A30" t="s">
        <v>103</v>
      </c>
      <c r="B30" t="s">
        <v>113</v>
      </c>
      <c r="C30" t="s">
        <v>114</v>
      </c>
      <c r="D30" t="s">
        <v>115</v>
      </c>
      <c r="E30">
        <v>1</v>
      </c>
      <c r="F30" t="s">
        <v>62</v>
      </c>
      <c r="G30" t="s">
        <v>116</v>
      </c>
    </row>
    <row r="31" spans="1:7">
      <c r="A31" t="s">
        <v>103</v>
      </c>
      <c r="B31" t="s">
        <v>117</v>
      </c>
      <c r="C31" t="s">
        <v>118</v>
      </c>
      <c r="D31" t="s">
        <v>119</v>
      </c>
      <c r="E31">
        <v>1</v>
      </c>
      <c r="F31" t="s">
        <v>62</v>
      </c>
      <c r="G31" t="s">
        <v>120</v>
      </c>
    </row>
    <row r="32" spans="1:7">
      <c r="A32" t="s">
        <v>121</v>
      </c>
      <c r="B32" t="s">
        <v>38</v>
      </c>
      <c r="C32" t="s">
        <v>122</v>
      </c>
      <c r="D32" t="s">
        <v>123</v>
      </c>
      <c r="E32" t="s">
        <v>124</v>
      </c>
      <c r="F32" t="s">
        <v>62</v>
      </c>
      <c r="G32" t="s">
        <v>125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2" sqref="H12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model1</vt:lpstr>
      <vt:lpstr>uplink</vt:lpstr>
      <vt:lpstr>relay</vt:lpstr>
      <vt:lpstr>CSS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francisli</dc:creator>
  <cp:lastModifiedBy>李飞扬</cp:lastModifiedBy>
  <dcterms:created xsi:type="dcterms:W3CDTF">2026-05-11T16:46:00Z</dcterms:created>
  <dcterms:modified xsi:type="dcterms:W3CDTF">2026-05-14T20:12:50Z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B1D0B3E49D97B337B96C036A65AE1CD7_43</vt:lpwstr>
  </property>
  <property fmtid="{D5CDD505-2E9C-101B-9397-08002B2CF9AE}" pid="3" name="KSOProductBuildVer">
    <vt:lpwstr>1033-7.2.0.8943</vt:lpwstr>
  </property>
</Properties>
</file>