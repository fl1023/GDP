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imperiallondon-my.sharepoint.com/personal/fl1023_ic_ac_uk/Documents/Year 3/GDP/GDP/link_budget/"/>
    </mc:Choice>
  </mc:AlternateContent>
  <xr:revisionPtr revIDLastSave="166" documentId="11_E564EA96B5990B6BCCAB59E2B46B37C5AED9A70F" xr6:coauthVersionLast="47" xr6:coauthVersionMax="47" xr10:uidLastSave="{F6760EFF-8015-4FCA-94E2-18E6323778C4}"/>
  <bookViews>
    <workbookView xWindow="-108" yWindow="-108" windowWidth="23256" windowHeight="12456" activeTab="1" xr2:uid="{00000000-000D-0000-FFFF-FFFF00000000}"/>
  </bookViews>
  <sheets>
    <sheet name="model1" sheetId="3" r:id="rId1"/>
    <sheet name="CSS" sheetId="7" r:id="rId2"/>
    <sheet name="Sheet2" sheetId="8" r:id="rId3"/>
    <sheet name="uplink" sheetId="4" r:id="rId4"/>
    <sheet name="relay" sheetId="5" r:id="rId5"/>
    <sheet name="phase1"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3" i="3" l="1"/>
</calcChain>
</file>

<file path=xl/sharedStrings.xml><?xml version="1.0" encoding="utf-8"?>
<sst xmlns="http://schemas.openxmlformats.org/spreadsheetml/2006/main" count="905" uniqueCount="224">
  <si>
    <t>Category</t>
  </si>
  <si>
    <t>Code</t>
  </si>
  <si>
    <t>Parameter</t>
  </si>
  <si>
    <t>Symbol</t>
  </si>
  <si>
    <t>First-pass value</t>
  </si>
  <si>
    <t>Unit</t>
  </si>
  <si>
    <t>Notes</t>
  </si>
  <si>
    <t>L2 downlink</t>
  </si>
  <si>
    <t>Satellite</t>
  </si>
  <si>
    <t>Geometry</t>
  </si>
  <si>
    <t>PS1</t>
  </si>
  <si>
    <t>Satellite latitude</t>
  </si>
  <si>
    <t>(\phi_s)</t>
  </si>
  <si>
    <t>deg</t>
  </si>
  <si>
    <t>Earth-relative sub-satellite latitude in MATLAB</t>
  </si>
  <si>
    <t>PS2</t>
  </si>
  <si>
    <t>Satellite longitude</t>
  </si>
  <si>
    <t>(\lambda_s)</t>
  </si>
  <si>
    <t>Earth-relative sub-satellite longitude in MATLAB</t>
  </si>
  <si>
    <t>PS3</t>
  </si>
  <si>
    <t>Satellite altitude / approx. lunar range</t>
  </si>
  <si>
    <t>(h_s) / (d)</t>
  </si>
  <si>
    <t>km</t>
  </si>
  <si>
    <t>Approximate Earth–Moon distance</t>
  </si>
  <si>
    <t>Ground station</t>
  </si>
  <si>
    <t>PG1</t>
  </si>
  <si>
    <t>Ground station latitude</t>
  </si>
  <si>
    <t>(\phi_g)</t>
  </si>
  <si>
    <t>G2 latitude: DSN madrid</t>
  </si>
  <si>
    <t>PG2</t>
  </si>
  <si>
    <t>Ground station longitude</t>
  </si>
  <si>
    <t>(\lambda_g)</t>
  </si>
  <si>
    <t>G2 longitude:DSN madrid</t>
  </si>
  <si>
    <t>PG3</t>
  </si>
  <si>
    <t>Ground station altitude</t>
  </si>
  <si>
    <t>(h_g)</t>
  </si>
  <si>
    <t>m</t>
  </si>
  <si>
    <t>DSN madrid</t>
  </si>
  <si>
    <t>—</t>
  </si>
  <si>
    <t>Elevation angle</t>
  </si>
  <si>
    <t>(E)</t>
  </si>
  <si>
    <t>MATLAB calculated</t>
  </si>
  <si>
    <t>Do not manually input here; MATLAB computes from S2/G2 geometry</t>
  </si>
  <si>
    <t>Link</t>
  </si>
  <si>
    <t>Frequency</t>
  </si>
  <si>
    <t>PL1</t>
  </si>
  <si>
    <t>(f)</t>
  </si>
  <si>
    <t>GHz</t>
  </si>
  <si>
    <t>Current L2 link : try x band</t>
  </si>
  <si>
    <t>PL2</t>
  </si>
  <si>
    <t>Bandwidth</t>
  </si>
  <si>
    <t>(B)</t>
  </si>
  <si>
    <t>MHz</t>
  </si>
  <si>
    <t>Receiver/noise bandwidth: x</t>
  </si>
  <si>
    <t>PL3</t>
  </si>
  <si>
    <t>Bit rate</t>
  </si>
  <si>
    <t>(R_b)</t>
  </si>
  <si>
    <t>Mbps</t>
  </si>
  <si>
    <t>Current data rate</t>
  </si>
  <si>
    <t>PL4</t>
  </si>
  <si>
    <t>Required (E_b/N_0)</t>
  </si>
  <si>
    <t>SNR</t>
  </si>
  <si>
    <t>dB</t>
  </si>
  <si>
    <t>Conservative/modulation assumption</t>
  </si>
  <si>
    <t>PL5</t>
  </si>
  <si>
    <t>Polarization mismatch</t>
  </si>
  <si>
    <t>(\theta_{pol})</t>
  </si>
  <si>
    <t>MATLAB converts this to polarization loss: 45 is in the middle</t>
  </si>
  <si>
    <t>PL6</t>
  </si>
  <si>
    <t>Implementation loss</t>
  </si>
  <si>
    <t>(L_{impl})</t>
  </si>
  <si>
    <t>Practical hardware/modem loss</t>
  </si>
  <si>
    <t>PL7</t>
  </si>
  <si>
    <t>Antenna mispointing loss</t>
  </si>
  <si>
    <t>(L_{point})</t>
  </si>
  <si>
    <t>Pointing loss</t>
  </si>
  <si>
    <t>PL8</t>
  </si>
  <si>
    <t>Radome loss</t>
  </si>
  <si>
    <t>(L_{radome})</t>
  </si>
  <si>
    <t>Extra link loss</t>
  </si>
  <si>
    <t>Transmitter</t>
  </si>
  <si>
    <t>PT1</t>
  </si>
  <si>
    <t>Tx feeder loss</t>
  </si>
  <si>
    <t>(L_{tx,feed})</t>
  </si>
  <si>
    <t>S2 transmitter chain loss</t>
  </si>
  <si>
    <t>PT2</t>
  </si>
  <si>
    <t>Other Tx losses</t>
  </si>
  <si>
    <t>(L_{tx,other})</t>
  </si>
  <si>
    <t>Other S2 transmitter losses</t>
  </si>
  <si>
    <t>PT3</t>
  </si>
  <si>
    <t>Tx HPA power</t>
  </si>
  <si>
    <t>(P_{HPA})</t>
  </si>
  <si>
    <t>dBW</t>
  </si>
  <si>
    <t>17 dBW ≈ 50 W</t>
  </si>
  <si>
    <t>PT4</t>
  </si>
  <si>
    <t>Tx HPA output back-off</t>
  </si>
  <si>
    <t>OBO</t>
  </si>
  <si>
    <t>Effective RF output is reduced by 4 dB</t>
  </si>
  <si>
    <t>PT5</t>
  </si>
  <si>
    <t>Tx antenna gain</t>
  </si>
  <si>
    <t>(G_{tx})</t>
  </si>
  <si>
    <t>dBi</t>
  </si>
  <si>
    <t>S2 transmit antenna gain</t>
  </si>
  <si>
    <t>Receiver</t>
  </si>
  <si>
    <t>PR1</t>
  </si>
  <si>
    <t>Interference loss</t>
  </si>
  <si>
    <t>(L_{int})</t>
  </si>
  <si>
    <t>G2 receiver interference/misc loss</t>
  </si>
  <si>
    <t>PR2</t>
  </si>
  <si>
    <t>Ground station Rx G/T</t>
  </si>
  <si>
    <t>(G/T)</t>
  </si>
  <si>
    <t>dB/K</t>
  </si>
  <si>
    <t>G2 receiver figure of merit</t>
  </si>
  <si>
    <t>PR3</t>
  </si>
  <si>
    <t>Rx feeder loss</t>
  </si>
  <si>
    <t>(L_{rx,feed})</t>
  </si>
  <si>
    <t>G2 receive chain loss</t>
  </si>
  <si>
    <t>PR4</t>
  </si>
  <si>
    <t>Other Rx losses</t>
  </si>
  <si>
    <t>(L_{rx,other})</t>
  </si>
  <si>
    <t>Other G2 receiver losses</t>
  </si>
  <si>
    <t>Design target</t>
  </si>
  <si>
    <t>Required margin</t>
  </si>
  <si>
    <t>(M_{req})</t>
  </si>
  <si>
    <t>≥3</t>
  </si>
  <si>
    <t>Your design pass/fail target</t>
  </si>
  <si>
    <t>L1 uplink</t>
  </si>
  <si>
    <t>L3 relay</t>
  </si>
  <si>
    <t>Satellite S3</t>
  </si>
  <si>
    <t>Satellite S4</t>
  </si>
  <si>
    <t>L1</t>
  </si>
  <si>
    <t>G2 latitude</t>
  </si>
  <si>
    <t>G2 longitude</t>
  </si>
  <si>
    <t>Height above sea level</t>
  </si>
  <si>
    <t>MATLAB converts this to polarization loss</t>
  </si>
  <si>
    <t>L3</t>
  </si>
  <si>
    <t>Star topology</t>
  </si>
  <si>
    <t>System / Architecture Type</t>
  </si>
  <si>
    <t>Basic Structure</t>
  </si>
  <si>
    <t>Typical Use in Space Missions</t>
  </si>
  <si>
    <t>Advantages</t>
  </si>
  <si>
    <t>Disadvantages</t>
  </si>
  <si>
    <t>Point-to-point / Direct link</t>
  </si>
  <si>
    <t>Basic Earth–spacecraft TT&amp;C link; direct telemetry downlink and command uplink</t>
  </si>
  <si>
    <t>Simple architecture; easiest to model with link budget; fewer routing complications</t>
  </si>
  <si>
    <t>Operationally simple; no dependency on relay node; good for crew safety</t>
  </si>
  <si>
    <t>Lander needs larger antenna or higher power; lunar terrain/attitude may limit visibility</t>
  </si>
  <si>
    <t>Relay architecture</t>
  </si>
  <si>
    <t>Mars rover–orbiter–Earth links; lunar relay satellites; surface assets with limited power</t>
  </si>
  <si>
    <t>Relay becomes a critical node; adds routing, timing, and reliability complexity</t>
  </si>
  <si>
    <t>Multi-spacecraft missions with a mothership and deployable elements</t>
  </si>
  <si>
    <t>Easier than full mesh; centralised control; simpler network management</t>
  </si>
  <si>
    <t>Hub failure affects many links; hub needs high reliability and redundancy</t>
  </si>
  <si>
    <t>Very suitable. The transfer vehicle can act as communication hub between Earth, lander, and return capsule</t>
  </si>
  <si>
    <t>Mesh topology</t>
  </si>
  <si>
    <t>Distributed satellite networks; resilient constellations; military/robust networks</t>
  </si>
  <si>
    <t>High redundancy; multiple fallback paths; improves fault tolerance</t>
  </si>
  <si>
    <t>Complex routing; more radios/antennas; higher power, mass, software complexity</t>
  </si>
  <si>
    <t>Probably too complex as a baseline, but useful as a comparison option in literature review</t>
  </si>
  <si>
    <t>Hybrid topology</t>
  </si>
  <si>
    <t>Combination of DTE, relay, star, and backup links</t>
  </si>
  <si>
    <t>Most realistic spacecraft TT&amp;C systems</t>
  </si>
  <si>
    <t>Balances robustness and practicality; supports nominal and emergency modes</t>
  </si>
  <si>
    <t>More complex than pure DTE; needs careful interface definition</t>
  </si>
  <si>
    <t>Best recommendation for your mission: DTE for safety, relay for high-rate/coverage, low-rate backup for emergency</t>
  </si>
  <si>
    <t>Store-and-forward</t>
  </si>
  <si>
    <t>Data is stored onboard and transmitted later when link conditions are favourable</t>
  </si>
  <si>
    <t>Science data return, delayed telemetry, non-real-time payload data</t>
  </si>
  <si>
    <t>Reduces need for continuous high-rate link; allows data return during scheduled windows</t>
  </si>
  <si>
    <t>Not suitable for real-time crew safety; requires onboard storage</t>
  </si>
  <si>
    <t>Very relevant for 72-hour surface stay. Video/science/housekeeping logs can be stored and transmitted during scheduled passes</t>
  </si>
  <si>
    <t>Real-time continuous link</t>
  </si>
  <si>
    <t>Communication maintained continuously or near-continuously</t>
  </si>
  <si>
    <t>Crewed mission voice, biomedical telemetry, emergency monitoring</t>
  </si>
  <si>
    <t>Best for safety and mission control awareness</t>
  </si>
  <si>
    <t>Expensive in link capacity and ground coverage; may require multiple ground stations or relay</t>
  </si>
  <si>
    <t>Needed for crew voice, emergency telemetry, and critical command links, but not necessarily for all data</t>
  </si>
  <si>
    <t>Ground-station network link</t>
  </si>
  <si>
    <t>Spacecraft communicates with multiple possible Earth ground stations</t>
  </si>
  <si>
    <t>DSN, ESTRACK, commercial ground networks</t>
  </si>
  <si>
    <t>Increases visibility time; improves operational flexibility</t>
  </si>
  <si>
    <t>Scheduling constraints; network access may be limited</t>
  </si>
  <si>
    <t>You need this under “ground system selection.” For lunar distance, several ground networks are possible</t>
  </si>
  <si>
    <t>Redundant TT&amp;C chain</t>
  </si>
  <si>
    <t>Duplicate transponders, amplifiers, antennas, switches, or cross-strapped RF chains</t>
  </si>
  <si>
    <t>High-reliability spacecraft, deep-space missions, crewed systems</t>
  </si>
  <si>
    <t>Improves probability of mission success; protects against single-point failures</t>
  </si>
  <si>
    <t>Adds mass, power, complexity, and integration effort</t>
  </si>
  <si>
    <t>Very important because your mission target is &gt;99.9% success probability</t>
  </si>
  <si>
    <t>Adaptive data-rate / modulation system</t>
  </si>
  <si>
    <t>Modulation, coding, or data rate changes depending on link quality</t>
  </si>
  <si>
    <t>Modern space links, Ka-band/high-rate links, variable geometry missions</t>
  </si>
  <si>
    <t>Better throughput when link is good; safer operation when link is poor</t>
  </si>
  <si>
    <t>More complex; requires careful verification</t>
  </si>
  <si>
    <t>Useful as an advanced option. Literature says link margin depends on SNR variation and coding behaviour, not just a fixed 3 dB rule</t>
  </si>
  <si>
    <t>Optical communication</t>
  </si>
  <si>
    <t>Laser communication instead of RF</t>
  </si>
  <si>
    <t>Future high-rate deep-space and lunar communications</t>
  </si>
  <si>
    <t>Very high data rate; smaller beam divergence; potentially lower antenna mass</t>
  </si>
  <si>
    <t>Requires very accurate pointing; weather/cloud sensitivity for ground stations; less mature than RF</t>
  </si>
  <si>
    <t>Good to mention as future/alternative architecture, but RF is safer for baseline crewed TTC</t>
  </si>
  <si>
    <t>Relevance to the mission</t>
  </si>
  <si>
    <t xml:space="preserve"> lander communicates directly with Earth without relay</t>
  </si>
  <si>
    <t>Demo</t>
  </si>
  <si>
    <r>
      <t xml:space="preserve">Apollo-style lunar communication; </t>
    </r>
    <r>
      <rPr>
        <b/>
        <sz val="11"/>
        <color theme="1"/>
        <rFont val="Calibri"/>
        <family val="2"/>
        <scheme val="minor"/>
      </rPr>
      <t>emergency communications</t>
    </r>
    <r>
      <rPr>
        <sz val="11"/>
        <color theme="1"/>
        <rFont val="Calibri"/>
        <charset val="134"/>
        <scheme val="minor"/>
      </rPr>
      <t xml:space="preserve">; </t>
    </r>
    <r>
      <rPr>
        <b/>
        <sz val="11"/>
        <color theme="1"/>
        <rFont val="Calibri"/>
        <family val="2"/>
        <scheme val="minor"/>
      </rPr>
      <t>direct command uplink</t>
    </r>
  </si>
  <si>
    <t>LTV ↔ Lander, Lander ↔ Capsule, Capsule ↔ LTV, plus Earth links</t>
  </si>
  <si>
    <r>
      <t>Requires each spacecraft to have enough</t>
    </r>
    <r>
      <rPr>
        <b/>
        <sz val="11"/>
        <color theme="1"/>
        <rFont val="Calibri"/>
        <family val="2"/>
        <scheme val="minor"/>
      </rPr>
      <t xml:space="preserve"> antenna gain</t>
    </r>
    <r>
      <rPr>
        <sz val="11"/>
        <color theme="1"/>
        <rFont val="Calibri"/>
        <charset val="134"/>
        <scheme val="minor"/>
      </rPr>
      <t xml:space="preserve">, </t>
    </r>
    <r>
      <rPr>
        <b/>
        <sz val="11"/>
        <color theme="1"/>
        <rFont val="Calibri"/>
        <family val="2"/>
        <scheme val="minor"/>
      </rPr>
      <t>transmit power</t>
    </r>
    <r>
      <rPr>
        <sz val="11"/>
        <color theme="1"/>
        <rFont val="Calibri"/>
        <charset val="134"/>
        <scheme val="minor"/>
      </rPr>
      <t xml:space="preserve">, and </t>
    </r>
    <r>
      <rPr>
        <b/>
        <sz val="11"/>
        <color theme="1"/>
        <rFont val="Calibri"/>
        <family val="2"/>
        <scheme val="minor"/>
      </rPr>
      <t>Earth visibility</t>
    </r>
  </si>
  <si>
    <t>Essential baseline for the mission</t>
  </si>
  <si>
    <t>Very important for crewed safety. Even if high-rate data uses relay, a low-rate DTE emergency channel is strongly recommended; when emergency mode is activated direct link is used</t>
  </si>
  <si>
    <r>
      <rPr>
        <b/>
        <sz val="11"/>
        <color theme="1"/>
        <rFont val="Calibri"/>
        <family val="2"/>
        <scheme val="minor"/>
      </rPr>
      <t>Reduces surface vehicle power/antenna burden</t>
    </r>
    <r>
      <rPr>
        <sz val="11"/>
        <color theme="1"/>
        <rFont val="Calibri"/>
        <charset val="134"/>
        <scheme val="minor"/>
      </rPr>
      <t>; can improve coverage; useful when lander cannot point well at Earth</t>
    </r>
  </si>
  <si>
    <t>Strong candidate for the mission; The lunar transfer vehicle or a lunar-orbit asset could relay lander telemetry/video</t>
  </si>
  <si>
    <t>Earth ⇄ Lunar Lander
Earth ⇄ Lunar Transfer Vehicle
Earth ⇄ Return Capsule</t>
  </si>
  <si>
    <t>Lunar Lander ⇄ Lunar Transfer Vehicle ⇄ Earth</t>
  </si>
  <si>
    <t>The lander sends data to the transfer vehicle first. The transfer vehicle then forwards it to Earth. Commands can also go from Earth to the transfer vehicle, then to the lander.</t>
  </si>
  <si>
    <t>One central node acts as the communication hub. Other vehicles communicate mainly through this hub.</t>
  </si>
  <si>
    <t>Earth ⇄ Lunar Transfer Vehicle ⇄ Lunar Lander , Return Capsule ,Surface Systems</t>
  </si>
  <si>
    <t>Multiple nodes communicate with each other directly.</t>
  </si>
  <si>
    <t>Earth ⇅ ┌────────────┼────────────┐ ⇅ ⇅ ⇅ LTV ⇄────── Lander ⇄──── Return Capsule ⇅ ⇅ Backup Surface crew/system link</t>
  </si>
  <si>
    <t>Lander records data → Onboard storage → Wait for link window → Earth</t>
  </si>
  <si>
    <t>Crew / Lander ⇄ Earth Mission Control continuous voice / telemetry / command</t>
  </si>
  <si>
    <t>spacecraft takl to multiple ground station at the same time</t>
  </si>
  <si>
    <t>Spacecraft laser terminal ───── optical beam ─────&gt; Optical ground station</t>
  </si>
  <si>
    <t>Increase/decrease the antenna gain&amp;change of frequency at the relay</t>
  </si>
  <si>
    <t>The system changes data rate or margin during the 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</si>
</sst>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charset val="134"/>
      <scheme val="minor"/>
    </font>
    <font>
      <sz val="11"/>
      <color theme="1"/>
      <name val="Calibri"/>
      <family val="2"/>
      <scheme val="minor"/>
    </font>
    <font>
      <sz val="11"/>
      <color theme="1"/>
      <name val="Calibri"/>
      <family val="2"/>
      <scheme val="minor"/>
    </font>
    <font>
      <b/>
      <sz val="11"/>
      <color theme="1"/>
      <name val="Calibri"/>
      <charset val="134"/>
      <scheme val="minor"/>
    </font>
    <font>
      <b/>
      <sz val="11"/>
      <name val="Calibri"/>
      <charset val="134"/>
      <scheme val="minor"/>
    </font>
    <font>
      <b/>
      <sz val="11"/>
      <color theme="1"/>
      <name val="Calibri"/>
      <family val="2"/>
      <scheme val="minor"/>
    </font>
    <font>
      <sz val="11"/>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2"/>
        <bgColor indexed="64"/>
      </patternFill>
    </fill>
    <fill>
      <patternFill patternType="solid">
        <fgColor theme="4" tint="0.59999389629810485"/>
        <bgColor indexed="64"/>
      </patternFill>
    </fill>
    <fill>
      <patternFill patternType="solid">
        <fgColor theme="7"/>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alignment vertical="center"/>
    </xf>
  </cellStyleXfs>
  <cellXfs count="35">
    <xf numFmtId="0" fontId="0" fillId="0" borderId="0" xfId="0">
      <alignment vertical="center"/>
    </xf>
    <xf numFmtId="0" fontId="0" fillId="2"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3" fillId="0" borderId="0" xfId="0" applyFont="1">
      <alignment vertical="center"/>
    </xf>
    <xf numFmtId="0" fontId="4" fillId="0" borderId="0" xfId="0" applyFont="1">
      <alignment vertical="center"/>
    </xf>
    <xf numFmtId="0" fontId="0" fillId="6" borderId="0" xfId="0" applyFill="1">
      <alignment vertical="center"/>
    </xf>
    <xf numFmtId="0" fontId="0" fillId="7" borderId="0" xfId="0" applyFill="1">
      <alignment vertical="center"/>
    </xf>
    <xf numFmtId="0" fontId="0" fillId="8" borderId="0" xfId="0" applyFill="1">
      <alignment vertical="center"/>
    </xf>
    <xf numFmtId="0" fontId="3" fillId="0" borderId="1" xfId="0" applyFont="1" applyBorder="1">
      <alignment vertical="center"/>
    </xf>
    <xf numFmtId="0" fontId="0" fillId="0" borderId="2" xfId="0" applyBorder="1">
      <alignment vertical="center"/>
    </xf>
    <xf numFmtId="0" fontId="4" fillId="0" borderId="3" xfId="0" applyFont="1" applyBorder="1">
      <alignment vertical="center"/>
    </xf>
    <xf numFmtId="0" fontId="0" fillId="0" borderId="3" xfId="0" applyBorder="1">
      <alignment vertical="center"/>
    </xf>
    <xf numFmtId="0" fontId="3" fillId="0" borderId="3" xfId="0" applyFont="1"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0" xfId="0" applyAlignment="1">
      <alignment vertical="center" wrapText="1"/>
    </xf>
    <xf numFmtId="0" fontId="2" fillId="0" borderId="0" xfId="0" applyFont="1" applyAlignment="1">
      <alignment vertical="center" wrapText="1"/>
    </xf>
    <xf numFmtId="0" fontId="5" fillId="10" borderId="0" xfId="0" applyFont="1" applyFill="1" applyAlignment="1">
      <alignment vertical="center" wrapText="1"/>
    </xf>
    <xf numFmtId="0" fontId="5" fillId="12" borderId="0" xfId="0" applyFont="1" applyFill="1" applyAlignment="1">
      <alignment vertical="center" wrapText="1"/>
    </xf>
    <xf numFmtId="0" fontId="5" fillId="2" borderId="0" xfId="0" applyFont="1" applyFill="1" applyAlignment="1">
      <alignment vertical="center" wrapText="1"/>
    </xf>
    <xf numFmtId="0" fontId="5" fillId="4" borderId="0" xfId="0" applyFont="1" applyFill="1" applyAlignment="1">
      <alignment vertical="center" wrapText="1"/>
    </xf>
    <xf numFmtId="0" fontId="5" fillId="11" borderId="0" xfId="0" applyFont="1" applyFill="1" applyAlignment="1">
      <alignment vertical="center" wrapText="1"/>
    </xf>
    <xf numFmtId="0" fontId="5" fillId="9" borderId="0" xfId="0" applyFont="1" applyFill="1" applyAlignment="1">
      <alignment vertical="center" wrapText="1"/>
    </xf>
    <xf numFmtId="0" fontId="6" fillId="13" borderId="0" xfId="0" applyFont="1" applyFill="1" applyAlignment="1">
      <alignment vertical="center" wrapText="1"/>
    </xf>
    <xf numFmtId="0" fontId="2" fillId="13" borderId="0" xfId="0" applyFont="1" applyFill="1" applyAlignment="1">
      <alignment vertical="center" wrapText="1"/>
    </xf>
    <xf numFmtId="0" fontId="0" fillId="13" borderId="0" xfId="0" applyFill="1" applyAlignment="1">
      <alignment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1" fillId="13" borderId="0" xfId="0" applyFont="1" applyFill="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
  <sheetViews>
    <sheetView zoomScale="78" zoomScaleNormal="78" workbookViewId="0">
      <selection activeCell="J70" sqref="J70"/>
    </sheetView>
  </sheetViews>
  <sheetFormatPr defaultColWidth="9" defaultRowHeight="14.4"/>
  <cols>
    <col min="1" max="1" width="12.33203125" customWidth="1"/>
    <col min="2" max="2" width="7.44140625" customWidth="1"/>
    <col min="3" max="3" width="26.6640625" customWidth="1"/>
    <col min="4" max="4" width="24.88671875" customWidth="1"/>
    <col min="5" max="5" width="17.5546875" customWidth="1"/>
    <col min="6" max="6" width="18.77734375" customWidth="1"/>
    <col min="7" max="7" width="56.109375" customWidth="1"/>
  </cols>
  <sheetData>
    <row r="1" spans="1:7">
      <c r="A1" s="1" t="s">
        <v>0</v>
      </c>
      <c r="B1" s="2" t="s">
        <v>1</v>
      </c>
      <c r="C1" s="3" t="s">
        <v>2</v>
      </c>
      <c r="D1" s="4" t="s">
        <v>3</v>
      </c>
      <c r="E1" s="7" t="s">
        <v>4</v>
      </c>
      <c r="F1" s="8" t="s">
        <v>5</v>
      </c>
      <c r="G1" s="9" t="s">
        <v>6</v>
      </c>
    </row>
    <row r="2" spans="1:7">
      <c r="A2" s="10" t="s">
        <v>7</v>
      </c>
      <c r="B2" s="11"/>
      <c r="C2" s="11"/>
      <c r="D2" s="11"/>
      <c r="E2" s="11"/>
      <c r="F2" s="11"/>
      <c r="G2" s="17"/>
    </row>
    <row r="3" spans="1:7">
      <c r="A3" s="12" t="s">
        <v>8</v>
      </c>
      <c r="G3" s="18"/>
    </row>
    <row r="4" spans="1:7">
      <c r="A4" s="13" t="s">
        <v>9</v>
      </c>
      <c r="B4" t="s">
        <v>10</v>
      </c>
      <c r="C4" t="s">
        <v>11</v>
      </c>
      <c r="D4" t="s">
        <v>12</v>
      </c>
      <c r="E4">
        <v>40.431399999999996</v>
      </c>
      <c r="F4" t="s">
        <v>13</v>
      </c>
      <c r="G4" s="18" t="s">
        <v>14</v>
      </c>
    </row>
    <row r="5" spans="1:7">
      <c r="A5" s="13" t="s">
        <v>9</v>
      </c>
      <c r="B5" t="s">
        <v>15</v>
      </c>
      <c r="C5" t="s">
        <v>16</v>
      </c>
      <c r="D5" t="s">
        <v>17</v>
      </c>
      <c r="E5">
        <v>-4.2481</v>
      </c>
      <c r="F5" t="s">
        <v>13</v>
      </c>
      <c r="G5" s="18" t="s">
        <v>18</v>
      </c>
    </row>
    <row r="6" spans="1:7">
      <c r="A6" s="13" t="s">
        <v>9</v>
      </c>
      <c r="B6" t="s">
        <v>19</v>
      </c>
      <c r="C6" t="s">
        <v>20</v>
      </c>
      <c r="D6" t="s">
        <v>21</v>
      </c>
      <c r="E6">
        <v>384400</v>
      </c>
      <c r="F6" t="s">
        <v>22</v>
      </c>
      <c r="G6" s="18" t="s">
        <v>23</v>
      </c>
    </row>
    <row r="7" spans="1:7">
      <c r="A7" s="14" t="s">
        <v>24</v>
      </c>
      <c r="G7" s="18"/>
    </row>
    <row r="8" spans="1:7">
      <c r="A8" s="13" t="s">
        <v>9</v>
      </c>
      <c r="B8" t="s">
        <v>25</v>
      </c>
      <c r="C8" t="s">
        <v>26</v>
      </c>
      <c r="D8" t="s">
        <v>27</v>
      </c>
      <c r="E8">
        <v>40.431399999999996</v>
      </c>
      <c r="F8" t="s">
        <v>13</v>
      </c>
      <c r="G8" s="18" t="s">
        <v>28</v>
      </c>
    </row>
    <row r="9" spans="1:7">
      <c r="A9" s="13" t="s">
        <v>9</v>
      </c>
      <c r="B9" t="s">
        <v>29</v>
      </c>
      <c r="C9" t="s">
        <v>30</v>
      </c>
      <c r="D9" t="s">
        <v>31</v>
      </c>
      <c r="E9">
        <v>-4.2481</v>
      </c>
      <c r="F9" t="s">
        <v>13</v>
      </c>
      <c r="G9" s="18" t="s">
        <v>32</v>
      </c>
    </row>
    <row r="10" spans="1:7">
      <c r="A10" s="13" t="s">
        <v>9</v>
      </c>
      <c r="B10" t="s">
        <v>33</v>
      </c>
      <c r="C10" t="s">
        <v>34</v>
      </c>
      <c r="D10" t="s">
        <v>35</v>
      </c>
      <c r="E10">
        <v>800</v>
      </c>
      <c r="F10" t="s">
        <v>36</v>
      </c>
      <c r="G10" s="18" t="s">
        <v>37</v>
      </c>
    </row>
    <row r="11" spans="1:7">
      <c r="A11" s="13" t="s">
        <v>9</v>
      </c>
      <c r="B11" t="s">
        <v>38</v>
      </c>
      <c r="C11" t="s">
        <v>39</v>
      </c>
      <c r="D11" t="s">
        <v>40</v>
      </c>
      <c r="E11" t="s">
        <v>41</v>
      </c>
      <c r="F11" t="s">
        <v>13</v>
      </c>
      <c r="G11" s="18" t="s">
        <v>42</v>
      </c>
    </row>
    <row r="12" spans="1:7">
      <c r="A12" s="14" t="s">
        <v>43</v>
      </c>
      <c r="G12" s="18"/>
    </row>
    <row r="13" spans="1:7">
      <c r="A13" s="13" t="s">
        <v>44</v>
      </c>
      <c r="B13" t="s">
        <v>45</v>
      </c>
      <c r="C13" t="s">
        <v>44</v>
      </c>
      <c r="D13" t="s">
        <v>46</v>
      </c>
      <c r="E13">
        <v>8</v>
      </c>
      <c r="F13" t="s">
        <v>47</v>
      </c>
      <c r="G13" s="18" t="s">
        <v>48</v>
      </c>
    </row>
    <row r="14" spans="1:7">
      <c r="A14" s="13" t="s">
        <v>43</v>
      </c>
      <c r="B14" t="s">
        <v>49</v>
      </c>
      <c r="C14" t="s">
        <v>50</v>
      </c>
      <c r="D14" t="s">
        <v>51</v>
      </c>
      <c r="E14">
        <v>4</v>
      </c>
      <c r="F14" t="s">
        <v>52</v>
      </c>
      <c r="G14" s="18" t="s">
        <v>53</v>
      </c>
    </row>
    <row r="15" spans="1:7">
      <c r="A15" s="13" t="s">
        <v>43</v>
      </c>
      <c r="B15" t="s">
        <v>54</v>
      </c>
      <c r="C15" t="s">
        <v>55</v>
      </c>
      <c r="D15" t="s">
        <v>56</v>
      </c>
      <c r="E15">
        <v>1E-3</v>
      </c>
      <c r="F15" t="s">
        <v>57</v>
      </c>
      <c r="G15" s="18" t="s">
        <v>58</v>
      </c>
    </row>
    <row r="16" spans="1:7">
      <c r="A16" s="13" t="s">
        <v>43</v>
      </c>
      <c r="B16" t="s">
        <v>59</v>
      </c>
      <c r="C16" t="s">
        <v>60</v>
      </c>
      <c r="D16" t="s">
        <v>61</v>
      </c>
      <c r="E16">
        <v>10.384</v>
      </c>
      <c r="F16" t="s">
        <v>62</v>
      </c>
      <c r="G16" s="18" t="s">
        <v>63</v>
      </c>
    </row>
    <row r="17" spans="1:7">
      <c r="A17" s="13" t="s">
        <v>43</v>
      </c>
      <c r="B17" t="s">
        <v>64</v>
      </c>
      <c r="C17" t="s">
        <v>65</v>
      </c>
      <c r="D17" t="s">
        <v>66</v>
      </c>
      <c r="E17">
        <v>45</v>
      </c>
      <c r="F17" t="s">
        <v>13</v>
      </c>
      <c r="G17" s="18" t="s">
        <v>67</v>
      </c>
    </row>
    <row r="18" spans="1:7">
      <c r="A18" s="13" t="s">
        <v>43</v>
      </c>
      <c r="B18" t="s">
        <v>68</v>
      </c>
      <c r="C18" t="s">
        <v>69</v>
      </c>
      <c r="D18" t="s">
        <v>70</v>
      </c>
      <c r="E18">
        <v>2</v>
      </c>
      <c r="F18" t="s">
        <v>62</v>
      </c>
      <c r="G18" s="18" t="s">
        <v>71</v>
      </c>
    </row>
    <row r="19" spans="1:7">
      <c r="A19" s="13" t="s">
        <v>43</v>
      </c>
      <c r="B19" t="s">
        <v>72</v>
      </c>
      <c r="C19" t="s">
        <v>73</v>
      </c>
      <c r="D19" t="s">
        <v>74</v>
      </c>
      <c r="E19">
        <v>1</v>
      </c>
      <c r="F19" t="s">
        <v>62</v>
      </c>
      <c r="G19" s="18" t="s">
        <v>75</v>
      </c>
    </row>
    <row r="20" spans="1:7">
      <c r="A20" s="13" t="s">
        <v>43</v>
      </c>
      <c r="B20" t="s">
        <v>76</v>
      </c>
      <c r="C20" t="s">
        <v>77</v>
      </c>
      <c r="D20" t="s">
        <v>78</v>
      </c>
      <c r="E20">
        <v>1</v>
      </c>
      <c r="F20" t="s">
        <v>62</v>
      </c>
      <c r="G20" s="18" t="s">
        <v>79</v>
      </c>
    </row>
    <row r="21" spans="1:7">
      <c r="A21" s="12" t="s">
        <v>8</v>
      </c>
      <c r="G21" s="18"/>
    </row>
    <row r="22" spans="1:7">
      <c r="A22" s="13" t="s">
        <v>80</v>
      </c>
      <c r="B22" t="s">
        <v>81</v>
      </c>
      <c r="C22" t="s">
        <v>82</v>
      </c>
      <c r="D22" t="s">
        <v>83</v>
      </c>
      <c r="E22">
        <v>1</v>
      </c>
      <c r="F22" t="s">
        <v>62</v>
      </c>
      <c r="G22" s="18" t="s">
        <v>84</v>
      </c>
    </row>
    <row r="23" spans="1:7">
      <c r="A23" s="13" t="s">
        <v>80</v>
      </c>
      <c r="B23" t="s">
        <v>85</v>
      </c>
      <c r="C23" t="s">
        <v>86</v>
      </c>
      <c r="D23" t="s">
        <v>87</v>
      </c>
      <c r="E23">
        <v>1</v>
      </c>
      <c r="F23" t="s">
        <v>62</v>
      </c>
      <c r="G23" s="18" t="s">
        <v>88</v>
      </c>
    </row>
    <row r="24" spans="1:7">
      <c r="A24" s="13" t="s">
        <v>80</v>
      </c>
      <c r="B24" t="s">
        <v>89</v>
      </c>
      <c r="C24" t="s">
        <v>90</v>
      </c>
      <c r="D24" t="s">
        <v>91</v>
      </c>
      <c r="E24">
        <v>17</v>
      </c>
      <c r="F24" t="s">
        <v>92</v>
      </c>
      <c r="G24" s="18" t="s">
        <v>93</v>
      </c>
    </row>
    <row r="25" spans="1:7">
      <c r="A25" s="13" t="s">
        <v>80</v>
      </c>
      <c r="B25" t="s">
        <v>94</v>
      </c>
      <c r="C25" t="s">
        <v>95</v>
      </c>
      <c r="D25" t="s">
        <v>96</v>
      </c>
      <c r="E25">
        <v>4</v>
      </c>
      <c r="F25" t="s">
        <v>62</v>
      </c>
      <c r="G25" s="18" t="s">
        <v>97</v>
      </c>
    </row>
    <row r="26" spans="1:7">
      <c r="A26" s="13" t="s">
        <v>80</v>
      </c>
      <c r="B26" t="s">
        <v>98</v>
      </c>
      <c r="C26" t="s">
        <v>99</v>
      </c>
      <c r="D26" t="s">
        <v>100</v>
      </c>
      <c r="E26">
        <v>25</v>
      </c>
      <c r="F26" t="s">
        <v>101</v>
      </c>
      <c r="G26" s="18" t="s">
        <v>102</v>
      </c>
    </row>
    <row r="27" spans="1:7">
      <c r="A27" s="14" t="s">
        <v>24</v>
      </c>
      <c r="G27" s="18"/>
    </row>
    <row r="28" spans="1:7">
      <c r="A28" s="13" t="s">
        <v>103</v>
      </c>
      <c r="B28" t="s">
        <v>104</v>
      </c>
      <c r="C28" t="s">
        <v>105</v>
      </c>
      <c r="D28" t="s">
        <v>106</v>
      </c>
      <c r="E28">
        <v>2</v>
      </c>
      <c r="F28" t="s">
        <v>62</v>
      </c>
      <c r="G28" s="18" t="s">
        <v>107</v>
      </c>
    </row>
    <row r="29" spans="1:7">
      <c r="A29" s="13" t="s">
        <v>103</v>
      </c>
      <c r="B29" t="s">
        <v>108</v>
      </c>
      <c r="C29" t="s">
        <v>109</v>
      </c>
      <c r="D29" t="s">
        <v>110</v>
      </c>
      <c r="E29">
        <v>15</v>
      </c>
      <c r="F29" t="s">
        <v>111</v>
      </c>
      <c r="G29" s="18" t="s">
        <v>112</v>
      </c>
    </row>
    <row r="30" spans="1:7">
      <c r="A30" s="13" t="s">
        <v>103</v>
      </c>
      <c r="B30" t="s">
        <v>113</v>
      </c>
      <c r="C30" t="s">
        <v>114</v>
      </c>
      <c r="D30" t="s">
        <v>115</v>
      </c>
      <c r="E30">
        <v>1</v>
      </c>
      <c r="F30" t="s">
        <v>62</v>
      </c>
      <c r="G30" s="18" t="s">
        <v>116</v>
      </c>
    </row>
    <row r="31" spans="1:7">
      <c r="A31" s="13" t="s">
        <v>103</v>
      </c>
      <c r="B31" t="s">
        <v>117</v>
      </c>
      <c r="C31" t="s">
        <v>118</v>
      </c>
      <c r="D31" t="s">
        <v>119</v>
      </c>
      <c r="E31">
        <v>1</v>
      </c>
      <c r="F31" t="s">
        <v>62</v>
      </c>
      <c r="G31" s="18" t="s">
        <v>120</v>
      </c>
    </row>
    <row r="32" spans="1:7">
      <c r="A32" s="15" t="s">
        <v>121</v>
      </c>
      <c r="B32" s="16" t="s">
        <v>38</v>
      </c>
      <c r="C32" s="16" t="s">
        <v>122</v>
      </c>
      <c r="D32" s="16" t="s">
        <v>123</v>
      </c>
      <c r="E32" s="16" t="s">
        <v>124</v>
      </c>
      <c r="F32" s="16" t="s">
        <v>62</v>
      </c>
      <c r="G32" s="19" t="s">
        <v>125</v>
      </c>
    </row>
    <row r="33" spans="1:7">
      <c r="A33" s="1" t="s">
        <v>0</v>
      </c>
      <c r="B33" s="2" t="s">
        <v>1</v>
      </c>
      <c r="C33" s="3" t="s">
        <v>2</v>
      </c>
      <c r="D33" s="4" t="s">
        <v>3</v>
      </c>
      <c r="E33" s="7" t="s">
        <v>4</v>
      </c>
      <c r="F33" s="8" t="s">
        <v>5</v>
      </c>
      <c r="G33" s="9" t="s">
        <v>6</v>
      </c>
    </row>
    <row r="34" spans="1:7">
      <c r="A34" s="10" t="s">
        <v>126</v>
      </c>
      <c r="B34" s="11"/>
      <c r="C34" s="11"/>
      <c r="D34" s="11"/>
      <c r="E34" s="11"/>
      <c r="F34" s="11"/>
      <c r="G34" s="17"/>
    </row>
    <row r="35" spans="1:7">
      <c r="A35" s="12" t="s">
        <v>8</v>
      </c>
      <c r="G35" s="18"/>
    </row>
    <row r="36" spans="1:7">
      <c r="A36" s="13" t="s">
        <v>9</v>
      </c>
      <c r="B36" t="s">
        <v>10</v>
      </c>
      <c r="C36" t="s">
        <v>11</v>
      </c>
      <c r="D36" t="s">
        <v>12</v>
      </c>
      <c r="E36">
        <v>40.431399999999996</v>
      </c>
      <c r="F36" t="s">
        <v>13</v>
      </c>
      <c r="G36" s="18" t="s">
        <v>14</v>
      </c>
    </row>
    <row r="37" spans="1:7">
      <c r="A37" s="13" t="s">
        <v>9</v>
      </c>
      <c r="B37" t="s">
        <v>15</v>
      </c>
      <c r="C37" t="s">
        <v>16</v>
      </c>
      <c r="D37" t="s">
        <v>17</v>
      </c>
      <c r="E37">
        <v>-4.2481</v>
      </c>
      <c r="F37" t="s">
        <v>13</v>
      </c>
      <c r="G37" s="18" t="s">
        <v>18</v>
      </c>
    </row>
    <row r="38" spans="1:7">
      <c r="A38" s="13" t="s">
        <v>9</v>
      </c>
      <c r="B38" t="s">
        <v>19</v>
      </c>
      <c r="C38" t="s">
        <v>20</v>
      </c>
      <c r="D38" t="s">
        <v>21</v>
      </c>
      <c r="E38">
        <v>384400</v>
      </c>
      <c r="F38" t="s">
        <v>22</v>
      </c>
      <c r="G38" s="18" t="s">
        <v>23</v>
      </c>
    </row>
    <row r="39" spans="1:7">
      <c r="A39" s="14" t="s">
        <v>24</v>
      </c>
      <c r="G39" s="18"/>
    </row>
    <row r="40" spans="1:7">
      <c r="A40" s="13" t="s">
        <v>9</v>
      </c>
      <c r="B40" t="s">
        <v>25</v>
      </c>
      <c r="C40" t="s">
        <v>26</v>
      </c>
      <c r="D40" t="s">
        <v>27</v>
      </c>
      <c r="E40">
        <v>40.431399999999996</v>
      </c>
      <c r="F40" t="s">
        <v>13</v>
      </c>
      <c r="G40" s="18" t="s">
        <v>28</v>
      </c>
    </row>
    <row r="41" spans="1:7">
      <c r="A41" s="13" t="s">
        <v>9</v>
      </c>
      <c r="B41" t="s">
        <v>29</v>
      </c>
      <c r="C41" t="s">
        <v>30</v>
      </c>
      <c r="D41" t="s">
        <v>31</v>
      </c>
      <c r="E41">
        <v>-4.2481</v>
      </c>
      <c r="F41" t="s">
        <v>13</v>
      </c>
      <c r="G41" s="18" t="s">
        <v>32</v>
      </c>
    </row>
    <row r="42" spans="1:7">
      <c r="A42" s="13" t="s">
        <v>9</v>
      </c>
      <c r="B42" t="s">
        <v>33</v>
      </c>
      <c r="C42" t="s">
        <v>34</v>
      </c>
      <c r="D42" t="s">
        <v>35</v>
      </c>
      <c r="E42">
        <v>800</v>
      </c>
      <c r="F42" t="s">
        <v>36</v>
      </c>
      <c r="G42" s="18" t="s">
        <v>37</v>
      </c>
    </row>
    <row r="43" spans="1:7">
      <c r="A43" s="13" t="s">
        <v>9</v>
      </c>
      <c r="B43" t="s">
        <v>38</v>
      </c>
      <c r="C43" t="s">
        <v>39</v>
      </c>
      <c r="D43" t="s">
        <v>40</v>
      </c>
      <c r="E43" t="s">
        <v>41</v>
      </c>
      <c r="F43" t="s">
        <v>13</v>
      </c>
      <c r="G43" s="18" t="s">
        <v>42</v>
      </c>
    </row>
    <row r="44" spans="1:7">
      <c r="A44" s="14" t="s">
        <v>43</v>
      </c>
      <c r="G44" s="18"/>
    </row>
    <row r="45" spans="1:7">
      <c r="A45" s="13" t="s">
        <v>44</v>
      </c>
      <c r="B45" t="s">
        <v>45</v>
      </c>
      <c r="C45" t="s">
        <v>44</v>
      </c>
      <c r="D45" t="s">
        <v>46</v>
      </c>
      <c r="E45">
        <v>8.5</v>
      </c>
      <c r="F45" t="s">
        <v>47</v>
      </c>
      <c r="G45" s="18" t="s">
        <v>48</v>
      </c>
    </row>
    <row r="46" spans="1:7">
      <c r="A46" s="13" t="s">
        <v>43</v>
      </c>
      <c r="B46" t="s">
        <v>49</v>
      </c>
      <c r="C46" t="s">
        <v>50</v>
      </c>
      <c r="D46" t="s">
        <v>51</v>
      </c>
      <c r="E46">
        <v>4</v>
      </c>
      <c r="F46" t="s">
        <v>52</v>
      </c>
      <c r="G46" s="18" t="s">
        <v>53</v>
      </c>
    </row>
    <row r="47" spans="1:7">
      <c r="A47" s="13" t="s">
        <v>43</v>
      </c>
      <c r="B47" t="s">
        <v>54</v>
      </c>
      <c r="C47" t="s">
        <v>55</v>
      </c>
      <c r="D47" t="s">
        <v>56</v>
      </c>
      <c r="E47">
        <v>1E-3</v>
      </c>
      <c r="F47" t="s">
        <v>57</v>
      </c>
      <c r="G47" s="18" t="s">
        <v>58</v>
      </c>
    </row>
    <row r="48" spans="1:7">
      <c r="A48" s="13" t="s">
        <v>43</v>
      </c>
      <c r="B48" t="s">
        <v>59</v>
      </c>
      <c r="C48" t="s">
        <v>60</v>
      </c>
      <c r="D48" t="s">
        <v>61</v>
      </c>
      <c r="E48">
        <v>10.384</v>
      </c>
      <c r="F48" t="s">
        <v>62</v>
      </c>
      <c r="G48" s="18" t="s">
        <v>63</v>
      </c>
    </row>
    <row r="49" spans="1:7">
      <c r="A49" s="13" t="s">
        <v>43</v>
      </c>
      <c r="B49" t="s">
        <v>64</v>
      </c>
      <c r="C49" t="s">
        <v>65</v>
      </c>
      <c r="D49" t="s">
        <v>66</v>
      </c>
      <c r="E49">
        <v>45</v>
      </c>
      <c r="F49" t="s">
        <v>13</v>
      </c>
      <c r="G49" s="18" t="s">
        <v>67</v>
      </c>
    </row>
    <row r="50" spans="1:7">
      <c r="A50" s="13" t="s">
        <v>43</v>
      </c>
      <c r="B50" t="s">
        <v>68</v>
      </c>
      <c r="C50" t="s">
        <v>69</v>
      </c>
      <c r="D50" t="s">
        <v>70</v>
      </c>
      <c r="E50">
        <v>2</v>
      </c>
      <c r="F50" t="s">
        <v>62</v>
      </c>
      <c r="G50" s="18" t="s">
        <v>71</v>
      </c>
    </row>
    <row r="51" spans="1:7">
      <c r="A51" s="13" t="s">
        <v>43</v>
      </c>
      <c r="B51" t="s">
        <v>72</v>
      </c>
      <c r="C51" t="s">
        <v>73</v>
      </c>
      <c r="D51" t="s">
        <v>74</v>
      </c>
      <c r="E51">
        <v>1</v>
      </c>
      <c r="F51" t="s">
        <v>62</v>
      </c>
      <c r="G51" s="18" t="s">
        <v>75</v>
      </c>
    </row>
    <row r="52" spans="1:7">
      <c r="A52" s="13" t="s">
        <v>43</v>
      </c>
      <c r="B52" t="s">
        <v>76</v>
      </c>
      <c r="C52" t="s">
        <v>77</v>
      </c>
      <c r="D52" t="s">
        <v>78</v>
      </c>
      <c r="E52">
        <v>1</v>
      </c>
      <c r="F52" t="s">
        <v>62</v>
      </c>
      <c r="G52" s="18" t="s">
        <v>79</v>
      </c>
    </row>
    <row r="53" spans="1:7">
      <c r="A53" s="12" t="s">
        <v>8</v>
      </c>
      <c r="G53" s="18"/>
    </row>
    <row r="54" spans="1:7">
      <c r="A54" s="13" t="s">
        <v>80</v>
      </c>
      <c r="B54" t="s">
        <v>81</v>
      </c>
      <c r="C54" t="s">
        <v>82</v>
      </c>
      <c r="D54" t="s">
        <v>83</v>
      </c>
      <c r="E54">
        <v>1</v>
      </c>
      <c r="F54" t="s">
        <v>62</v>
      </c>
      <c r="G54" s="18" t="s">
        <v>84</v>
      </c>
    </row>
    <row r="55" spans="1:7">
      <c r="A55" s="13" t="s">
        <v>80</v>
      </c>
      <c r="B55" t="s">
        <v>85</v>
      </c>
      <c r="C55" t="s">
        <v>86</v>
      </c>
      <c r="D55" t="s">
        <v>87</v>
      </c>
      <c r="E55">
        <v>1</v>
      </c>
      <c r="F55" t="s">
        <v>62</v>
      </c>
      <c r="G55" s="18" t="s">
        <v>88</v>
      </c>
    </row>
    <row r="56" spans="1:7">
      <c r="A56" s="13" t="s">
        <v>80</v>
      </c>
      <c r="B56" t="s">
        <v>89</v>
      </c>
      <c r="C56" t="s">
        <v>90</v>
      </c>
      <c r="D56" t="s">
        <v>91</v>
      </c>
      <c r="E56">
        <v>17</v>
      </c>
      <c r="F56" t="s">
        <v>92</v>
      </c>
      <c r="G56" s="18" t="s">
        <v>93</v>
      </c>
    </row>
    <row r="57" spans="1:7">
      <c r="A57" s="13" t="s">
        <v>80</v>
      </c>
      <c r="B57" t="s">
        <v>94</v>
      </c>
      <c r="C57" t="s">
        <v>95</v>
      </c>
      <c r="D57" t="s">
        <v>96</v>
      </c>
      <c r="E57">
        <v>4</v>
      </c>
      <c r="F57" t="s">
        <v>62</v>
      </c>
      <c r="G57" s="18" t="s">
        <v>97</v>
      </c>
    </row>
    <row r="58" spans="1:7">
      <c r="A58" s="13" t="s">
        <v>80</v>
      </c>
      <c r="B58" t="s">
        <v>98</v>
      </c>
      <c r="C58" t="s">
        <v>99</v>
      </c>
      <c r="D58" t="s">
        <v>100</v>
      </c>
      <c r="E58">
        <v>25</v>
      </c>
      <c r="F58" t="s">
        <v>101</v>
      </c>
      <c r="G58" s="18" t="s">
        <v>102</v>
      </c>
    </row>
    <row r="59" spans="1:7">
      <c r="A59" s="14" t="s">
        <v>24</v>
      </c>
      <c r="G59" s="18"/>
    </row>
    <row r="60" spans="1:7">
      <c r="A60" s="13" t="s">
        <v>103</v>
      </c>
      <c r="B60" t="s">
        <v>104</v>
      </c>
      <c r="C60" t="s">
        <v>105</v>
      </c>
      <c r="D60" t="s">
        <v>106</v>
      </c>
      <c r="E60">
        <v>2</v>
      </c>
      <c r="F60" t="s">
        <v>62</v>
      </c>
      <c r="G60" s="18" t="s">
        <v>107</v>
      </c>
    </row>
    <row r="61" spans="1:7">
      <c r="A61" s="13" t="s">
        <v>103</v>
      </c>
      <c r="B61" t="s">
        <v>108</v>
      </c>
      <c r="C61" t="s">
        <v>109</v>
      </c>
      <c r="D61" t="s">
        <v>110</v>
      </c>
      <c r="E61">
        <v>15</v>
      </c>
      <c r="F61" t="s">
        <v>111</v>
      </c>
      <c r="G61" s="18" t="s">
        <v>112</v>
      </c>
    </row>
    <row r="62" spans="1:7">
      <c r="A62" s="13" t="s">
        <v>103</v>
      </c>
      <c r="B62" t="s">
        <v>113</v>
      </c>
      <c r="C62" t="s">
        <v>114</v>
      </c>
      <c r="D62" t="s">
        <v>115</v>
      </c>
      <c r="E62">
        <v>1</v>
      </c>
      <c r="F62" t="s">
        <v>62</v>
      </c>
      <c r="G62" s="18" t="s">
        <v>116</v>
      </c>
    </row>
    <row r="63" spans="1:7">
      <c r="A63" s="13" t="s">
        <v>103</v>
      </c>
      <c r="B63" t="s">
        <v>117</v>
      </c>
      <c r="C63" t="s">
        <v>118</v>
      </c>
      <c r="D63" t="s">
        <v>119</v>
      </c>
      <c r="E63">
        <v>1</v>
      </c>
      <c r="F63" t="s">
        <v>62</v>
      </c>
      <c r="G63" s="18" t="s">
        <v>120</v>
      </c>
    </row>
    <row r="64" spans="1:7">
      <c r="A64" s="15" t="s">
        <v>121</v>
      </c>
      <c r="B64" s="16" t="s">
        <v>38</v>
      </c>
      <c r="C64" s="16" t="s">
        <v>122</v>
      </c>
      <c r="D64" s="16" t="s">
        <v>123</v>
      </c>
      <c r="E64" s="16" t="s">
        <v>124</v>
      </c>
      <c r="F64" s="16" t="s">
        <v>62</v>
      </c>
      <c r="G64" s="19" t="s">
        <v>125</v>
      </c>
    </row>
    <row r="65" spans="1:7">
      <c r="A65" s="1" t="s">
        <v>0</v>
      </c>
      <c r="B65" s="2" t="s">
        <v>1</v>
      </c>
      <c r="C65" s="3" t="s">
        <v>2</v>
      </c>
      <c r="D65" s="4" t="s">
        <v>3</v>
      </c>
      <c r="E65" s="7" t="s">
        <v>4</v>
      </c>
      <c r="F65" s="8" t="s">
        <v>5</v>
      </c>
      <c r="G65" s="9" t="s">
        <v>6</v>
      </c>
    </row>
    <row r="66" spans="1:7">
      <c r="A66" s="10" t="s">
        <v>127</v>
      </c>
      <c r="B66" s="11"/>
      <c r="C66" s="11"/>
      <c r="D66" s="11"/>
      <c r="E66" s="11"/>
      <c r="F66" s="11"/>
      <c r="G66" s="17"/>
    </row>
    <row r="67" spans="1:7">
      <c r="A67" s="12" t="s">
        <v>128</v>
      </c>
      <c r="G67" s="18"/>
    </row>
    <row r="68" spans="1:7">
      <c r="A68" s="13" t="s">
        <v>9</v>
      </c>
      <c r="B68" t="s">
        <v>10</v>
      </c>
      <c r="C68" t="s">
        <v>11</v>
      </c>
      <c r="D68" t="s">
        <v>12</v>
      </c>
      <c r="E68">
        <v>25</v>
      </c>
      <c r="F68" t="s">
        <v>13</v>
      </c>
      <c r="G68" s="18" t="s">
        <v>14</v>
      </c>
    </row>
    <row r="69" spans="1:7">
      <c r="A69" s="13" t="s">
        <v>9</v>
      </c>
      <c r="B69" t="s">
        <v>15</v>
      </c>
      <c r="C69" t="s">
        <v>16</v>
      </c>
      <c r="D69" t="s">
        <v>17</v>
      </c>
      <c r="E69">
        <v>5</v>
      </c>
      <c r="F69" t="s">
        <v>13</v>
      </c>
      <c r="G69" s="18" t="s">
        <v>18</v>
      </c>
    </row>
    <row r="70" spans="1:7">
      <c r="A70" s="13" t="s">
        <v>9</v>
      </c>
      <c r="B70" t="s">
        <v>19</v>
      </c>
      <c r="C70" t="s">
        <v>20</v>
      </c>
      <c r="D70" t="s">
        <v>21</v>
      </c>
      <c r="E70">
        <v>10</v>
      </c>
      <c r="F70" t="s">
        <v>22</v>
      </c>
      <c r="G70" s="18" t="s">
        <v>23</v>
      </c>
    </row>
    <row r="71" spans="1:7">
      <c r="A71" s="14" t="s">
        <v>43</v>
      </c>
      <c r="G71" s="18"/>
    </row>
    <row r="72" spans="1:7">
      <c r="A72" s="13" t="s">
        <v>44</v>
      </c>
      <c r="B72" t="s">
        <v>45</v>
      </c>
      <c r="C72" t="s">
        <v>44</v>
      </c>
      <c r="D72" t="s">
        <v>46</v>
      </c>
      <c r="E72">
        <v>12</v>
      </c>
      <c r="F72" t="s">
        <v>47</v>
      </c>
      <c r="G72" s="18" t="s">
        <v>48</v>
      </c>
    </row>
    <row r="73" spans="1:7">
      <c r="A73" s="13" t="s">
        <v>43</v>
      </c>
      <c r="B73" t="s">
        <v>49</v>
      </c>
      <c r="C73" t="s">
        <v>50</v>
      </c>
      <c r="D73" t="s">
        <v>51</v>
      </c>
      <c r="E73">
        <v>4</v>
      </c>
      <c r="F73" t="s">
        <v>52</v>
      </c>
      <c r="G73" s="18" t="s">
        <v>53</v>
      </c>
    </row>
    <row r="74" spans="1:7">
      <c r="A74" s="13" t="s">
        <v>43</v>
      </c>
      <c r="B74" t="s">
        <v>54</v>
      </c>
      <c r="C74" t="s">
        <v>55</v>
      </c>
      <c r="D74" t="s">
        <v>56</v>
      </c>
      <c r="E74">
        <v>1</v>
      </c>
      <c r="F74" t="s">
        <v>57</v>
      </c>
      <c r="G74" s="18" t="s">
        <v>58</v>
      </c>
    </row>
    <row r="75" spans="1:7">
      <c r="A75" s="13" t="s">
        <v>43</v>
      </c>
      <c r="B75" t="s">
        <v>59</v>
      </c>
      <c r="C75" t="s">
        <v>60</v>
      </c>
      <c r="D75" t="s">
        <v>61</v>
      </c>
      <c r="E75">
        <v>10.384</v>
      </c>
      <c r="F75" t="s">
        <v>62</v>
      </c>
      <c r="G75" s="18" t="s">
        <v>63</v>
      </c>
    </row>
    <row r="76" spans="1:7">
      <c r="A76" s="13" t="s">
        <v>43</v>
      </c>
      <c r="B76" t="s">
        <v>64</v>
      </c>
      <c r="C76" t="s">
        <v>65</v>
      </c>
      <c r="D76" t="s">
        <v>66</v>
      </c>
      <c r="E76">
        <v>45</v>
      </c>
      <c r="F76" t="s">
        <v>13</v>
      </c>
      <c r="G76" s="18" t="s">
        <v>67</v>
      </c>
    </row>
    <row r="77" spans="1:7">
      <c r="A77" s="13" t="s">
        <v>43</v>
      </c>
      <c r="B77" t="s">
        <v>68</v>
      </c>
      <c r="C77" t="s">
        <v>69</v>
      </c>
      <c r="D77" t="s">
        <v>70</v>
      </c>
      <c r="E77">
        <v>2</v>
      </c>
      <c r="F77" t="s">
        <v>62</v>
      </c>
      <c r="G77" s="18" t="s">
        <v>71</v>
      </c>
    </row>
    <row r="78" spans="1:7">
      <c r="A78" s="13" t="s">
        <v>43</v>
      </c>
      <c r="B78" t="s">
        <v>72</v>
      </c>
      <c r="C78" t="s">
        <v>73</v>
      </c>
      <c r="D78" t="s">
        <v>74</v>
      </c>
      <c r="E78">
        <v>1</v>
      </c>
      <c r="F78" t="s">
        <v>62</v>
      </c>
      <c r="G78" s="18" t="s">
        <v>75</v>
      </c>
    </row>
    <row r="79" spans="1:7">
      <c r="A79" s="13" t="s">
        <v>43</v>
      </c>
      <c r="B79" t="s">
        <v>76</v>
      </c>
      <c r="C79" t="s">
        <v>77</v>
      </c>
      <c r="D79" t="s">
        <v>78</v>
      </c>
      <c r="E79">
        <v>1</v>
      </c>
      <c r="F79" t="s">
        <v>62</v>
      </c>
      <c r="G79" s="18" t="s">
        <v>79</v>
      </c>
    </row>
    <row r="80" spans="1:7">
      <c r="A80" s="12" t="s">
        <v>8</v>
      </c>
      <c r="G80" s="18"/>
    </row>
    <row r="81" spans="1:7">
      <c r="A81" s="13" t="s">
        <v>80</v>
      </c>
      <c r="B81" t="s">
        <v>81</v>
      </c>
      <c r="C81" t="s">
        <v>82</v>
      </c>
      <c r="D81" t="s">
        <v>83</v>
      </c>
      <c r="E81">
        <v>1</v>
      </c>
      <c r="F81" t="s">
        <v>62</v>
      </c>
      <c r="G81" s="18" t="s">
        <v>84</v>
      </c>
    </row>
    <row r="82" spans="1:7">
      <c r="A82" s="13" t="s">
        <v>80</v>
      </c>
      <c r="B82" t="s">
        <v>85</v>
      </c>
      <c r="C82" t="s">
        <v>86</v>
      </c>
      <c r="D82" t="s">
        <v>87</v>
      </c>
      <c r="E82">
        <v>1</v>
      </c>
      <c r="F82" t="s">
        <v>62</v>
      </c>
      <c r="G82" s="18" t="s">
        <v>88</v>
      </c>
    </row>
    <row r="83" spans="1:7">
      <c r="A83" s="13" t="s">
        <v>80</v>
      </c>
      <c r="B83" t="s">
        <v>89</v>
      </c>
      <c r="C83" t="s">
        <v>90</v>
      </c>
      <c r="D83" t="s">
        <v>91</v>
      </c>
      <c r="E83">
        <v>15</v>
      </c>
      <c r="F83" t="s">
        <v>92</v>
      </c>
      <c r="G83" s="18">
        <f>10^(E83/10)</f>
        <v>31.6227766016838</v>
      </c>
    </row>
    <row r="84" spans="1:7">
      <c r="A84" s="13" t="s">
        <v>80</v>
      </c>
      <c r="B84" t="s">
        <v>94</v>
      </c>
      <c r="C84" t="s">
        <v>95</v>
      </c>
      <c r="D84" t="s">
        <v>96</v>
      </c>
      <c r="E84">
        <v>10</v>
      </c>
      <c r="F84" t="s">
        <v>62</v>
      </c>
      <c r="G84" s="18" t="s">
        <v>97</v>
      </c>
    </row>
    <row r="85" spans="1:7">
      <c r="A85" s="13" t="s">
        <v>80</v>
      </c>
      <c r="B85" t="s">
        <v>98</v>
      </c>
      <c r="C85" t="s">
        <v>99</v>
      </c>
      <c r="D85" t="s">
        <v>100</v>
      </c>
      <c r="E85">
        <v>15</v>
      </c>
      <c r="F85" t="s">
        <v>101</v>
      </c>
      <c r="G85" s="18" t="s">
        <v>102</v>
      </c>
    </row>
    <row r="86" spans="1:7">
      <c r="A86" s="12" t="s">
        <v>129</v>
      </c>
      <c r="G86" s="18"/>
    </row>
    <row r="87" spans="1:7">
      <c r="A87" s="13" t="s">
        <v>9</v>
      </c>
      <c r="B87" t="s">
        <v>10</v>
      </c>
      <c r="C87" t="s">
        <v>11</v>
      </c>
      <c r="D87" t="s">
        <v>12</v>
      </c>
      <c r="E87">
        <v>25</v>
      </c>
      <c r="F87" t="s">
        <v>13</v>
      </c>
      <c r="G87" s="18" t="s">
        <v>14</v>
      </c>
    </row>
    <row r="88" spans="1:7">
      <c r="A88" s="13" t="s">
        <v>9</v>
      </c>
      <c r="B88" t="s">
        <v>15</v>
      </c>
      <c r="C88" t="s">
        <v>16</v>
      </c>
      <c r="D88" t="s">
        <v>17</v>
      </c>
      <c r="E88">
        <v>5</v>
      </c>
      <c r="F88" t="s">
        <v>13</v>
      </c>
      <c r="G88" s="18" t="s">
        <v>18</v>
      </c>
    </row>
    <row r="89" spans="1:7">
      <c r="A89" s="13" t="s">
        <v>9</v>
      </c>
      <c r="B89" t="s">
        <v>19</v>
      </c>
      <c r="C89" t="s">
        <v>20</v>
      </c>
      <c r="D89" t="s">
        <v>21</v>
      </c>
      <c r="E89">
        <v>1000</v>
      </c>
      <c r="F89" t="s">
        <v>22</v>
      </c>
      <c r="G89" s="18" t="s">
        <v>23</v>
      </c>
    </row>
    <row r="90" spans="1:7">
      <c r="A90" s="14" t="s">
        <v>24</v>
      </c>
      <c r="G90" s="18"/>
    </row>
    <row r="91" spans="1:7">
      <c r="A91" s="13" t="s">
        <v>103</v>
      </c>
      <c r="B91" t="s">
        <v>104</v>
      </c>
      <c r="C91" t="s">
        <v>105</v>
      </c>
      <c r="D91" t="s">
        <v>106</v>
      </c>
      <c r="E91">
        <v>2</v>
      </c>
      <c r="F91" t="s">
        <v>62</v>
      </c>
      <c r="G91" s="18" t="s">
        <v>107</v>
      </c>
    </row>
    <row r="92" spans="1:7">
      <c r="A92" s="13" t="s">
        <v>103</v>
      </c>
      <c r="B92" t="s">
        <v>108</v>
      </c>
      <c r="C92" t="s">
        <v>109</v>
      </c>
      <c r="D92" t="s">
        <v>110</v>
      </c>
      <c r="E92">
        <v>15</v>
      </c>
      <c r="F92" t="s">
        <v>111</v>
      </c>
      <c r="G92" s="18" t="s">
        <v>112</v>
      </c>
    </row>
    <row r="93" spans="1:7">
      <c r="A93" s="13" t="s">
        <v>103</v>
      </c>
      <c r="B93" t="s">
        <v>113</v>
      </c>
      <c r="C93" t="s">
        <v>114</v>
      </c>
      <c r="D93" t="s">
        <v>115</v>
      </c>
      <c r="E93">
        <v>1</v>
      </c>
      <c r="F93" t="s">
        <v>62</v>
      </c>
      <c r="G93" s="18" t="s">
        <v>116</v>
      </c>
    </row>
    <row r="94" spans="1:7">
      <c r="A94" s="13" t="s">
        <v>103</v>
      </c>
      <c r="B94" t="s">
        <v>117</v>
      </c>
      <c r="C94" t="s">
        <v>118</v>
      </c>
      <c r="D94" t="s">
        <v>119</v>
      </c>
      <c r="E94">
        <v>1</v>
      </c>
      <c r="F94" t="s">
        <v>62</v>
      </c>
      <c r="G94" s="18" t="s">
        <v>120</v>
      </c>
    </row>
    <row r="95" spans="1:7">
      <c r="A95" s="15" t="s">
        <v>121</v>
      </c>
      <c r="B95" s="16" t="s">
        <v>38</v>
      </c>
      <c r="C95" s="16" t="s">
        <v>122</v>
      </c>
      <c r="D95" s="16" t="s">
        <v>123</v>
      </c>
      <c r="E95" s="16" t="s">
        <v>124</v>
      </c>
      <c r="F95" s="16" t="s">
        <v>62</v>
      </c>
      <c r="G95" s="19" t="s">
        <v>125</v>
      </c>
    </row>
    <row r="96" spans="1:7">
      <c r="A96" s="13"/>
      <c r="G96" s="18"/>
    </row>
    <row r="97" spans="1:7">
      <c r="A97" s="13"/>
      <c r="G97" s="18"/>
    </row>
    <row r="98" spans="1:7">
      <c r="A98" s="13"/>
      <c r="G98" s="18"/>
    </row>
    <row r="99" spans="1:7">
      <c r="A99" s="12"/>
      <c r="G99" s="18"/>
    </row>
    <row r="100" spans="1:7">
      <c r="A100" s="13"/>
      <c r="G100" s="18"/>
    </row>
    <row r="101" spans="1:7">
      <c r="A101" s="13"/>
      <c r="G101" s="18"/>
    </row>
    <row r="102" spans="1:7">
      <c r="A102" s="13"/>
      <c r="G102" s="18"/>
    </row>
    <row r="103" spans="1:7">
      <c r="A103" s="13"/>
      <c r="G103" s="18"/>
    </row>
    <row r="104" spans="1:7">
      <c r="A104" s="13"/>
      <c r="G104" s="18"/>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CED2D-83A7-45B9-A445-34823B141F27}">
  <dimension ref="A1:T13"/>
  <sheetViews>
    <sheetView tabSelected="1" topLeftCell="A5" zoomScale="80" workbookViewId="0">
      <selection activeCell="F13" sqref="F13"/>
    </sheetView>
  </sheetViews>
  <sheetFormatPr defaultRowHeight="14.4"/>
  <cols>
    <col min="1" max="1" width="23.44140625" style="20" customWidth="1"/>
    <col min="2" max="2" width="35.88671875" style="20" customWidth="1"/>
    <col min="3" max="3" width="33" style="20" customWidth="1"/>
    <col min="4" max="4" width="35.5546875" style="20" customWidth="1"/>
    <col min="5" max="5" width="32.6640625" style="20" customWidth="1"/>
    <col min="6" max="6" width="34.5546875" style="20" customWidth="1"/>
    <col min="7" max="7" width="41.21875" style="20" customWidth="1"/>
    <col min="8" max="8" width="22.77734375" style="20" customWidth="1"/>
    <col min="9" max="20" width="8.88671875" style="20"/>
  </cols>
  <sheetData>
    <row r="1" spans="1:7" ht="28.8">
      <c r="A1" s="23" t="s">
        <v>137</v>
      </c>
      <c r="B1" s="24" t="s">
        <v>138</v>
      </c>
      <c r="C1" s="24" t="s">
        <v>203</v>
      </c>
      <c r="D1" s="25" t="s">
        <v>139</v>
      </c>
      <c r="E1" s="26" t="s">
        <v>140</v>
      </c>
      <c r="F1" s="27" t="s">
        <v>141</v>
      </c>
      <c r="G1" s="22" t="s">
        <v>201</v>
      </c>
    </row>
    <row r="2" spans="1:7" ht="52.2" customHeight="1">
      <c r="A2" s="31" t="s">
        <v>142</v>
      </c>
      <c r="B2" s="32" t="s">
        <v>202</v>
      </c>
      <c r="C2" s="32" t="s">
        <v>211</v>
      </c>
      <c r="D2" s="20" t="s">
        <v>143</v>
      </c>
      <c r="E2" s="20" t="s">
        <v>144</v>
      </c>
      <c r="F2" s="29" t="s">
        <v>206</v>
      </c>
      <c r="G2" s="33" t="s">
        <v>207</v>
      </c>
    </row>
    <row r="3" spans="1:7" ht="59.4" customHeight="1">
      <c r="A3" s="31"/>
      <c r="B3" s="32"/>
      <c r="C3" s="32"/>
      <c r="D3" s="21" t="s">
        <v>204</v>
      </c>
      <c r="E3" s="20" t="s">
        <v>145</v>
      </c>
      <c r="F3" s="20" t="s">
        <v>146</v>
      </c>
      <c r="G3" s="33" t="s">
        <v>208</v>
      </c>
    </row>
    <row r="4" spans="1:7" ht="72.599999999999994" customHeight="1">
      <c r="A4" s="21" t="s">
        <v>147</v>
      </c>
      <c r="B4" s="21" t="s">
        <v>213</v>
      </c>
      <c r="C4" s="33" t="s">
        <v>212</v>
      </c>
      <c r="D4" s="20" t="s">
        <v>148</v>
      </c>
      <c r="E4" s="21" t="s">
        <v>209</v>
      </c>
      <c r="F4" s="20" t="s">
        <v>149</v>
      </c>
      <c r="G4" s="33" t="s">
        <v>210</v>
      </c>
    </row>
    <row r="5" spans="1:7" ht="96" customHeight="1">
      <c r="A5" s="28" t="s">
        <v>136</v>
      </c>
      <c r="B5" s="29" t="s">
        <v>214</v>
      </c>
      <c r="C5" s="34" t="s">
        <v>215</v>
      </c>
      <c r="D5" s="30" t="s">
        <v>150</v>
      </c>
      <c r="E5" s="30" t="s">
        <v>151</v>
      </c>
      <c r="F5" s="30" t="s">
        <v>152</v>
      </c>
      <c r="G5" s="30" t="s">
        <v>153</v>
      </c>
    </row>
    <row r="6" spans="1:7" ht="65.400000000000006" customHeight="1">
      <c r="A6" s="21" t="s">
        <v>154</v>
      </c>
      <c r="B6" s="21" t="s">
        <v>216</v>
      </c>
      <c r="C6" s="20" t="s">
        <v>205</v>
      </c>
      <c r="D6" s="20" t="s">
        <v>155</v>
      </c>
      <c r="E6" s="20" t="s">
        <v>156</v>
      </c>
      <c r="F6" s="20" t="s">
        <v>157</v>
      </c>
      <c r="G6" s="20" t="s">
        <v>158</v>
      </c>
    </row>
    <row r="7" spans="1:7" ht="56.4" customHeight="1">
      <c r="A7" s="20" t="s">
        <v>159</v>
      </c>
      <c r="B7" s="20" t="s">
        <v>160</v>
      </c>
      <c r="C7" s="33" t="s">
        <v>217</v>
      </c>
      <c r="D7" s="20" t="s">
        <v>161</v>
      </c>
      <c r="E7" s="20" t="s">
        <v>162</v>
      </c>
      <c r="F7" s="20" t="s">
        <v>163</v>
      </c>
      <c r="G7" s="20" t="s">
        <v>164</v>
      </c>
    </row>
    <row r="8" spans="1:7" ht="60.6" customHeight="1">
      <c r="A8" s="21" t="s">
        <v>165</v>
      </c>
      <c r="B8" s="20" t="s">
        <v>166</v>
      </c>
      <c r="C8" s="33" t="s">
        <v>218</v>
      </c>
      <c r="D8" s="20" t="s">
        <v>167</v>
      </c>
      <c r="E8" s="20" t="s">
        <v>168</v>
      </c>
      <c r="F8" s="20" t="s">
        <v>169</v>
      </c>
      <c r="G8" s="20" t="s">
        <v>170</v>
      </c>
    </row>
    <row r="9" spans="1:7" ht="58.2" customHeight="1">
      <c r="A9" s="20" t="s">
        <v>171</v>
      </c>
      <c r="B9" s="20" t="s">
        <v>172</v>
      </c>
      <c r="C9" s="21" t="s">
        <v>219</v>
      </c>
      <c r="D9" s="20" t="s">
        <v>173</v>
      </c>
      <c r="E9" s="20" t="s">
        <v>174</v>
      </c>
      <c r="F9" s="20" t="s">
        <v>175</v>
      </c>
      <c r="G9" s="20" t="s">
        <v>176</v>
      </c>
    </row>
    <row r="10" spans="1:7" ht="58.2" customHeight="1">
      <c r="A10" s="20" t="s">
        <v>177</v>
      </c>
      <c r="B10" s="20" t="s">
        <v>178</v>
      </c>
      <c r="C10" s="21" t="s">
        <v>220</v>
      </c>
      <c r="D10" s="20" t="s">
        <v>179</v>
      </c>
      <c r="E10" s="20" t="s">
        <v>180</v>
      </c>
      <c r="F10" s="20" t="s">
        <v>181</v>
      </c>
      <c r="G10" s="20" t="s">
        <v>182</v>
      </c>
    </row>
    <row r="11" spans="1:7" ht="68.400000000000006" customHeight="1">
      <c r="A11" s="21" t="s">
        <v>183</v>
      </c>
      <c r="B11" s="20" t="s">
        <v>184</v>
      </c>
      <c r="C11" s="33" t="s">
        <v>222</v>
      </c>
      <c r="D11" s="20" t="s">
        <v>185</v>
      </c>
      <c r="E11" s="20" t="s">
        <v>186</v>
      </c>
      <c r="F11" s="20" t="s">
        <v>187</v>
      </c>
      <c r="G11" s="20" t="s">
        <v>188</v>
      </c>
    </row>
    <row r="12" spans="1:7" ht="70.8" customHeight="1">
      <c r="A12" s="20" t="s">
        <v>189</v>
      </c>
      <c r="B12" s="20" t="s">
        <v>190</v>
      </c>
      <c r="C12" s="21" t="s">
        <v>223</v>
      </c>
      <c r="D12" s="20" t="s">
        <v>191</v>
      </c>
      <c r="E12" s="20" t="s">
        <v>192</v>
      </c>
      <c r="F12" s="20" t="s">
        <v>193</v>
      </c>
      <c r="G12" s="20" t="s">
        <v>194</v>
      </c>
    </row>
    <row r="13" spans="1:7" ht="63.6" customHeight="1">
      <c r="A13" s="21" t="s">
        <v>195</v>
      </c>
      <c r="B13" s="20" t="s">
        <v>196</v>
      </c>
      <c r="C13" s="20" t="s">
        <v>221</v>
      </c>
      <c r="D13" s="20" t="s">
        <v>197</v>
      </c>
      <c r="E13" s="20" t="s">
        <v>198</v>
      </c>
      <c r="F13" s="30" t="s">
        <v>199</v>
      </c>
      <c r="G13" s="20" t="s">
        <v>200</v>
      </c>
    </row>
  </sheetData>
  <mergeCells count="3">
    <mergeCell ref="A2:A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6FCC-427C-4C31-BBAD-0C6794473B06}">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2"/>
  <sheetViews>
    <sheetView zoomScale="82" zoomScaleNormal="82" workbookViewId="0">
      <selection sqref="A1:G32"/>
    </sheetView>
  </sheetViews>
  <sheetFormatPr defaultColWidth="9" defaultRowHeight="14.4"/>
  <cols>
    <col min="1" max="1" width="12.33203125" customWidth="1"/>
    <col min="2" max="2" width="7.44140625" customWidth="1"/>
    <col min="3" max="3" width="26.6640625" customWidth="1"/>
    <col min="4" max="4" width="24.88671875" customWidth="1"/>
    <col min="5" max="5" width="17.5546875" customWidth="1"/>
    <col min="6" max="6" width="18.77734375" customWidth="1"/>
    <col min="7" max="7" width="56.109375" customWidth="1"/>
  </cols>
  <sheetData>
    <row r="1" spans="1:7">
      <c r="A1" s="1" t="s">
        <v>0</v>
      </c>
      <c r="B1" s="2" t="s">
        <v>1</v>
      </c>
      <c r="C1" s="3" t="s">
        <v>2</v>
      </c>
      <c r="D1" s="4" t="s">
        <v>3</v>
      </c>
      <c r="E1" s="7" t="s">
        <v>4</v>
      </c>
      <c r="F1" s="8" t="s">
        <v>5</v>
      </c>
      <c r="G1" s="9" t="s">
        <v>6</v>
      </c>
    </row>
    <row r="2" spans="1:7">
      <c r="A2" s="5" t="s">
        <v>130</v>
      </c>
    </row>
    <row r="3" spans="1:7">
      <c r="A3" s="6" t="s">
        <v>8</v>
      </c>
    </row>
    <row r="4" spans="1:7">
      <c r="A4" t="s">
        <v>9</v>
      </c>
      <c r="B4" t="s">
        <v>10</v>
      </c>
      <c r="C4" t="s">
        <v>11</v>
      </c>
      <c r="D4" t="s">
        <v>12</v>
      </c>
      <c r="E4">
        <v>25</v>
      </c>
      <c r="F4" t="s">
        <v>13</v>
      </c>
      <c r="G4" t="s">
        <v>14</v>
      </c>
    </row>
    <row r="5" spans="1:7">
      <c r="A5" t="s">
        <v>9</v>
      </c>
      <c r="B5" t="s">
        <v>15</v>
      </c>
      <c r="C5" t="s">
        <v>16</v>
      </c>
      <c r="D5" t="s">
        <v>17</v>
      </c>
      <c r="E5">
        <v>5</v>
      </c>
      <c r="F5" t="s">
        <v>13</v>
      </c>
      <c r="G5" t="s">
        <v>18</v>
      </c>
    </row>
    <row r="6" spans="1:7">
      <c r="A6" t="s">
        <v>9</v>
      </c>
      <c r="B6" t="s">
        <v>19</v>
      </c>
      <c r="C6" t="s">
        <v>20</v>
      </c>
      <c r="D6" t="s">
        <v>21</v>
      </c>
      <c r="E6">
        <v>384400</v>
      </c>
      <c r="F6" t="s">
        <v>22</v>
      </c>
      <c r="G6" t="s">
        <v>23</v>
      </c>
    </row>
    <row r="7" spans="1:7">
      <c r="A7" s="5" t="s">
        <v>24</v>
      </c>
    </row>
    <row r="8" spans="1:7">
      <c r="A8" t="s">
        <v>9</v>
      </c>
      <c r="B8" t="s">
        <v>25</v>
      </c>
      <c r="C8" t="s">
        <v>26</v>
      </c>
      <c r="D8" t="s">
        <v>27</v>
      </c>
      <c r="E8">
        <v>17.43</v>
      </c>
      <c r="F8" t="s">
        <v>13</v>
      </c>
      <c r="G8" t="s">
        <v>131</v>
      </c>
    </row>
    <row r="9" spans="1:7">
      <c r="A9" t="s">
        <v>9</v>
      </c>
      <c r="B9" t="s">
        <v>29</v>
      </c>
      <c r="C9" t="s">
        <v>30</v>
      </c>
      <c r="D9" t="s">
        <v>31</v>
      </c>
      <c r="E9">
        <v>78.349999999999994</v>
      </c>
      <c r="F9" t="s">
        <v>13</v>
      </c>
      <c r="G9" t="s">
        <v>132</v>
      </c>
    </row>
    <row r="10" spans="1:7">
      <c r="A10" t="s">
        <v>9</v>
      </c>
      <c r="B10" t="s">
        <v>33</v>
      </c>
      <c r="C10" t="s">
        <v>34</v>
      </c>
      <c r="D10" t="s">
        <v>35</v>
      </c>
      <c r="E10">
        <v>20</v>
      </c>
      <c r="F10" t="s">
        <v>36</v>
      </c>
      <c r="G10" t="s">
        <v>133</v>
      </c>
    </row>
    <row r="11" spans="1:7">
      <c r="A11" t="s">
        <v>9</v>
      </c>
      <c r="B11" t="s">
        <v>38</v>
      </c>
      <c r="C11" t="s">
        <v>39</v>
      </c>
      <c r="D11" t="s">
        <v>40</v>
      </c>
      <c r="E11" t="s">
        <v>41</v>
      </c>
      <c r="F11" t="s">
        <v>13</v>
      </c>
      <c r="G11" t="s">
        <v>42</v>
      </c>
    </row>
    <row r="12" spans="1:7">
      <c r="A12" s="5" t="s">
        <v>43</v>
      </c>
    </row>
    <row r="13" spans="1:7">
      <c r="A13" t="s">
        <v>44</v>
      </c>
      <c r="B13" t="s">
        <v>45</v>
      </c>
      <c r="C13" t="s">
        <v>44</v>
      </c>
      <c r="D13" t="s">
        <v>46</v>
      </c>
      <c r="E13">
        <v>8</v>
      </c>
      <c r="F13" t="s">
        <v>47</v>
      </c>
      <c r="G13" t="s">
        <v>48</v>
      </c>
    </row>
    <row r="14" spans="1:7">
      <c r="A14" t="s">
        <v>43</v>
      </c>
      <c r="B14" t="s">
        <v>49</v>
      </c>
      <c r="C14" t="s">
        <v>50</v>
      </c>
      <c r="D14" t="s">
        <v>51</v>
      </c>
      <c r="E14">
        <v>4</v>
      </c>
      <c r="F14" t="s">
        <v>52</v>
      </c>
      <c r="G14" t="s">
        <v>53</v>
      </c>
    </row>
    <row r="15" spans="1:7">
      <c r="A15" t="s">
        <v>43</v>
      </c>
      <c r="B15" t="s">
        <v>54</v>
      </c>
      <c r="C15" t="s">
        <v>55</v>
      </c>
      <c r="D15" t="s">
        <v>56</v>
      </c>
      <c r="E15">
        <v>100</v>
      </c>
      <c r="F15" t="s">
        <v>57</v>
      </c>
      <c r="G15" t="s">
        <v>58</v>
      </c>
    </row>
    <row r="16" spans="1:7">
      <c r="A16" t="s">
        <v>43</v>
      </c>
      <c r="B16" t="s">
        <v>59</v>
      </c>
      <c r="C16" t="s">
        <v>60</v>
      </c>
      <c r="D16" t="s">
        <v>61</v>
      </c>
      <c r="E16">
        <v>5</v>
      </c>
      <c r="F16" t="s">
        <v>62</v>
      </c>
      <c r="G16" t="s">
        <v>63</v>
      </c>
    </row>
    <row r="17" spans="1:7">
      <c r="A17" t="s">
        <v>43</v>
      </c>
      <c r="B17" t="s">
        <v>64</v>
      </c>
      <c r="C17" t="s">
        <v>65</v>
      </c>
      <c r="D17" t="s">
        <v>66</v>
      </c>
      <c r="E17">
        <v>45</v>
      </c>
      <c r="F17" t="s">
        <v>13</v>
      </c>
      <c r="G17" t="s">
        <v>134</v>
      </c>
    </row>
    <row r="18" spans="1:7">
      <c r="A18" t="s">
        <v>43</v>
      </c>
      <c r="B18" t="s">
        <v>68</v>
      </c>
      <c r="C18" t="s">
        <v>69</v>
      </c>
      <c r="D18" t="s">
        <v>70</v>
      </c>
      <c r="E18">
        <v>2</v>
      </c>
      <c r="F18" t="s">
        <v>62</v>
      </c>
      <c r="G18" t="s">
        <v>71</v>
      </c>
    </row>
    <row r="19" spans="1:7">
      <c r="A19" t="s">
        <v>43</v>
      </c>
      <c r="B19" t="s">
        <v>72</v>
      </c>
      <c r="C19" t="s">
        <v>73</v>
      </c>
      <c r="D19" t="s">
        <v>74</v>
      </c>
      <c r="E19">
        <v>1</v>
      </c>
      <c r="F19" t="s">
        <v>62</v>
      </c>
      <c r="G19" t="s">
        <v>75</v>
      </c>
    </row>
    <row r="20" spans="1:7">
      <c r="A20" t="s">
        <v>43</v>
      </c>
      <c r="B20" t="s">
        <v>76</v>
      </c>
      <c r="C20" t="s">
        <v>77</v>
      </c>
      <c r="D20" t="s">
        <v>78</v>
      </c>
      <c r="E20">
        <v>1</v>
      </c>
      <c r="F20" t="s">
        <v>62</v>
      </c>
      <c r="G20" t="s">
        <v>79</v>
      </c>
    </row>
    <row r="21" spans="1:7">
      <c r="A21" s="6" t="s">
        <v>8</v>
      </c>
    </row>
    <row r="22" spans="1:7">
      <c r="A22" t="s">
        <v>80</v>
      </c>
      <c r="B22" t="s">
        <v>81</v>
      </c>
      <c r="C22" t="s">
        <v>82</v>
      </c>
      <c r="D22" t="s">
        <v>83</v>
      </c>
      <c r="E22">
        <v>1</v>
      </c>
      <c r="F22" t="s">
        <v>62</v>
      </c>
      <c r="G22" t="s">
        <v>84</v>
      </c>
    </row>
    <row r="23" spans="1:7">
      <c r="A23" t="s">
        <v>80</v>
      </c>
      <c r="B23" t="s">
        <v>85</v>
      </c>
      <c r="C23" t="s">
        <v>86</v>
      </c>
      <c r="D23" t="s">
        <v>87</v>
      </c>
      <c r="E23">
        <v>1</v>
      </c>
      <c r="F23" t="s">
        <v>62</v>
      </c>
      <c r="G23" t="s">
        <v>88</v>
      </c>
    </row>
    <row r="24" spans="1:7">
      <c r="A24" t="s">
        <v>80</v>
      </c>
      <c r="B24" t="s">
        <v>89</v>
      </c>
      <c r="C24" t="s">
        <v>90</v>
      </c>
      <c r="D24" t="s">
        <v>91</v>
      </c>
      <c r="E24">
        <v>17</v>
      </c>
      <c r="F24" t="s">
        <v>92</v>
      </c>
      <c r="G24" t="s">
        <v>93</v>
      </c>
    </row>
    <row r="25" spans="1:7">
      <c r="A25" t="s">
        <v>80</v>
      </c>
      <c r="B25" t="s">
        <v>94</v>
      </c>
      <c r="C25" t="s">
        <v>95</v>
      </c>
      <c r="D25" t="s">
        <v>96</v>
      </c>
      <c r="E25">
        <v>4</v>
      </c>
      <c r="F25" t="s">
        <v>62</v>
      </c>
      <c r="G25" t="s">
        <v>97</v>
      </c>
    </row>
    <row r="26" spans="1:7">
      <c r="A26" t="s">
        <v>80</v>
      </c>
      <c r="B26" t="s">
        <v>98</v>
      </c>
      <c r="C26" t="s">
        <v>99</v>
      </c>
      <c r="D26" t="s">
        <v>100</v>
      </c>
      <c r="E26">
        <v>25</v>
      </c>
      <c r="F26" t="s">
        <v>101</v>
      </c>
      <c r="G26" t="s">
        <v>102</v>
      </c>
    </row>
    <row r="27" spans="1:7">
      <c r="A27" s="5" t="s">
        <v>24</v>
      </c>
    </row>
    <row r="28" spans="1:7">
      <c r="A28" t="s">
        <v>103</v>
      </c>
      <c r="B28" t="s">
        <v>104</v>
      </c>
      <c r="C28" t="s">
        <v>105</v>
      </c>
      <c r="D28" t="s">
        <v>106</v>
      </c>
      <c r="E28">
        <v>2</v>
      </c>
      <c r="F28" t="s">
        <v>62</v>
      </c>
      <c r="G28" t="s">
        <v>107</v>
      </c>
    </row>
    <row r="29" spans="1:7">
      <c r="A29" t="s">
        <v>103</v>
      </c>
      <c r="B29" t="s">
        <v>108</v>
      </c>
      <c r="C29" t="s">
        <v>109</v>
      </c>
      <c r="D29" t="s">
        <v>110</v>
      </c>
      <c r="E29">
        <v>15</v>
      </c>
      <c r="F29" t="s">
        <v>111</v>
      </c>
      <c r="G29" t="s">
        <v>112</v>
      </c>
    </row>
    <row r="30" spans="1:7">
      <c r="A30" t="s">
        <v>103</v>
      </c>
      <c r="B30" t="s">
        <v>113</v>
      </c>
      <c r="C30" t="s">
        <v>114</v>
      </c>
      <c r="D30" t="s">
        <v>115</v>
      </c>
      <c r="E30">
        <v>1</v>
      </c>
      <c r="F30" t="s">
        <v>62</v>
      </c>
      <c r="G30" t="s">
        <v>116</v>
      </c>
    </row>
    <row r="31" spans="1:7">
      <c r="A31" t="s">
        <v>103</v>
      </c>
      <c r="B31" t="s">
        <v>117</v>
      </c>
      <c r="C31" t="s">
        <v>118</v>
      </c>
      <c r="D31" t="s">
        <v>119</v>
      </c>
      <c r="E31">
        <v>1</v>
      </c>
      <c r="F31" t="s">
        <v>62</v>
      </c>
      <c r="G31" t="s">
        <v>120</v>
      </c>
    </row>
    <row r="32" spans="1:7">
      <c r="A32" t="s">
        <v>121</v>
      </c>
      <c r="B32" t="s">
        <v>38</v>
      </c>
      <c r="C32" t="s">
        <v>122</v>
      </c>
      <c r="D32" t="s">
        <v>123</v>
      </c>
      <c r="E32" t="s">
        <v>124</v>
      </c>
      <c r="F32" t="s">
        <v>62</v>
      </c>
      <c r="G32" t="s">
        <v>125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2"/>
  <sheetViews>
    <sheetView zoomScale="82" zoomScaleNormal="82" workbookViewId="0">
      <selection activeCell="C12" sqref="C12"/>
    </sheetView>
  </sheetViews>
  <sheetFormatPr defaultColWidth="9" defaultRowHeight="14.4"/>
  <cols>
    <col min="1" max="1" width="12.33203125" customWidth="1"/>
    <col min="2" max="2" width="7.44140625" customWidth="1"/>
    <col min="3" max="3" width="26.6640625" customWidth="1"/>
    <col min="4" max="4" width="24.88671875" customWidth="1"/>
    <col min="5" max="5" width="17.5546875" customWidth="1"/>
    <col min="6" max="6" width="18.77734375" customWidth="1"/>
    <col min="7" max="7" width="56.109375" customWidth="1"/>
  </cols>
  <sheetData>
    <row r="1" spans="1:7">
      <c r="A1" s="1" t="s">
        <v>0</v>
      </c>
      <c r="B1" s="2" t="s">
        <v>1</v>
      </c>
      <c r="C1" s="3" t="s">
        <v>2</v>
      </c>
      <c r="D1" s="4" t="s">
        <v>3</v>
      </c>
      <c r="E1" s="7" t="s">
        <v>4</v>
      </c>
      <c r="F1" s="8" t="s">
        <v>5</v>
      </c>
      <c r="G1" s="9" t="s">
        <v>6</v>
      </c>
    </row>
    <row r="2" spans="1:7">
      <c r="A2" s="5" t="s">
        <v>135</v>
      </c>
    </row>
    <row r="3" spans="1:7">
      <c r="A3" s="6" t="s">
        <v>8</v>
      </c>
    </row>
    <row r="4" spans="1:7">
      <c r="A4" t="s">
        <v>9</v>
      </c>
      <c r="B4" t="s">
        <v>10</v>
      </c>
      <c r="C4" t="s">
        <v>11</v>
      </c>
      <c r="D4" t="s">
        <v>12</v>
      </c>
      <c r="E4">
        <v>25</v>
      </c>
      <c r="F4" t="s">
        <v>13</v>
      </c>
      <c r="G4" t="s">
        <v>14</v>
      </c>
    </row>
    <row r="5" spans="1:7">
      <c r="A5" t="s">
        <v>9</v>
      </c>
      <c r="B5" t="s">
        <v>15</v>
      </c>
      <c r="C5" t="s">
        <v>16</v>
      </c>
      <c r="D5" t="s">
        <v>17</v>
      </c>
      <c r="E5">
        <v>5</v>
      </c>
      <c r="F5" t="s">
        <v>13</v>
      </c>
      <c r="G5" t="s">
        <v>18</v>
      </c>
    </row>
    <row r="6" spans="1:7">
      <c r="A6" t="s">
        <v>9</v>
      </c>
      <c r="B6" t="s">
        <v>19</v>
      </c>
      <c r="C6" t="s">
        <v>20</v>
      </c>
      <c r="D6" t="s">
        <v>21</v>
      </c>
      <c r="E6">
        <v>384400</v>
      </c>
      <c r="F6" t="s">
        <v>22</v>
      </c>
      <c r="G6" t="s">
        <v>23</v>
      </c>
    </row>
    <row r="7" spans="1:7">
      <c r="A7" s="5" t="s">
        <v>24</v>
      </c>
    </row>
    <row r="8" spans="1:7">
      <c r="A8" t="s">
        <v>9</v>
      </c>
      <c r="B8" t="s">
        <v>25</v>
      </c>
      <c r="C8" t="s">
        <v>26</v>
      </c>
      <c r="D8" t="s">
        <v>27</v>
      </c>
      <c r="E8">
        <v>17.43</v>
      </c>
      <c r="F8" t="s">
        <v>13</v>
      </c>
      <c r="G8" t="s">
        <v>131</v>
      </c>
    </row>
    <row r="9" spans="1:7">
      <c r="A9" t="s">
        <v>9</v>
      </c>
      <c r="B9" t="s">
        <v>29</v>
      </c>
      <c r="C9" t="s">
        <v>30</v>
      </c>
      <c r="D9" t="s">
        <v>31</v>
      </c>
      <c r="E9">
        <v>78.349999999999994</v>
      </c>
      <c r="F9" t="s">
        <v>13</v>
      </c>
      <c r="G9" t="s">
        <v>132</v>
      </c>
    </row>
    <row r="10" spans="1:7">
      <c r="A10" t="s">
        <v>9</v>
      </c>
      <c r="B10" t="s">
        <v>33</v>
      </c>
      <c r="C10" t="s">
        <v>34</v>
      </c>
      <c r="D10" t="s">
        <v>35</v>
      </c>
      <c r="E10">
        <v>20</v>
      </c>
      <c r="F10" t="s">
        <v>36</v>
      </c>
      <c r="G10" t="s">
        <v>133</v>
      </c>
    </row>
    <row r="11" spans="1:7">
      <c r="A11" t="s">
        <v>9</v>
      </c>
      <c r="B11" t="s">
        <v>38</v>
      </c>
      <c r="C11" t="s">
        <v>39</v>
      </c>
      <c r="D11" t="s">
        <v>40</v>
      </c>
      <c r="E11" t="s">
        <v>41</v>
      </c>
      <c r="F11" t="s">
        <v>13</v>
      </c>
      <c r="G11" t="s">
        <v>42</v>
      </c>
    </row>
    <row r="12" spans="1:7">
      <c r="A12" s="5" t="s">
        <v>43</v>
      </c>
    </row>
    <row r="13" spans="1:7">
      <c r="A13" t="s">
        <v>44</v>
      </c>
      <c r="B13" t="s">
        <v>45</v>
      </c>
      <c r="C13" t="s">
        <v>44</v>
      </c>
      <c r="D13" t="s">
        <v>46</v>
      </c>
      <c r="E13">
        <v>8</v>
      </c>
      <c r="F13" t="s">
        <v>47</v>
      </c>
      <c r="G13" t="s">
        <v>48</v>
      </c>
    </row>
    <row r="14" spans="1:7">
      <c r="A14" t="s">
        <v>43</v>
      </c>
      <c r="B14" t="s">
        <v>49</v>
      </c>
      <c r="C14" t="s">
        <v>50</v>
      </c>
      <c r="D14" t="s">
        <v>51</v>
      </c>
      <c r="E14">
        <v>4</v>
      </c>
      <c r="F14" t="s">
        <v>52</v>
      </c>
      <c r="G14" t="s">
        <v>53</v>
      </c>
    </row>
    <row r="15" spans="1:7">
      <c r="A15" t="s">
        <v>43</v>
      </c>
      <c r="B15" t="s">
        <v>54</v>
      </c>
      <c r="C15" t="s">
        <v>55</v>
      </c>
      <c r="D15" t="s">
        <v>56</v>
      </c>
      <c r="E15">
        <v>100</v>
      </c>
      <c r="F15" t="s">
        <v>57</v>
      </c>
      <c r="G15" t="s">
        <v>58</v>
      </c>
    </row>
    <row r="16" spans="1:7">
      <c r="A16" t="s">
        <v>43</v>
      </c>
      <c r="B16" t="s">
        <v>59</v>
      </c>
      <c r="C16" t="s">
        <v>60</v>
      </c>
      <c r="D16" t="s">
        <v>61</v>
      </c>
      <c r="E16">
        <v>5</v>
      </c>
      <c r="F16" t="s">
        <v>62</v>
      </c>
      <c r="G16" t="s">
        <v>63</v>
      </c>
    </row>
    <row r="17" spans="1:7">
      <c r="A17" t="s">
        <v>43</v>
      </c>
      <c r="B17" t="s">
        <v>64</v>
      </c>
      <c r="C17" t="s">
        <v>65</v>
      </c>
      <c r="D17" t="s">
        <v>66</v>
      </c>
      <c r="E17">
        <v>45</v>
      </c>
      <c r="F17" t="s">
        <v>13</v>
      </c>
      <c r="G17" t="s">
        <v>134</v>
      </c>
    </row>
    <row r="18" spans="1:7">
      <c r="A18" t="s">
        <v>43</v>
      </c>
      <c r="B18" t="s">
        <v>68</v>
      </c>
      <c r="C18" t="s">
        <v>69</v>
      </c>
      <c r="D18" t="s">
        <v>70</v>
      </c>
      <c r="E18">
        <v>2</v>
      </c>
      <c r="F18" t="s">
        <v>62</v>
      </c>
      <c r="G18" t="s">
        <v>71</v>
      </c>
    </row>
    <row r="19" spans="1:7">
      <c r="A19" t="s">
        <v>43</v>
      </c>
      <c r="B19" t="s">
        <v>72</v>
      </c>
      <c r="C19" t="s">
        <v>73</v>
      </c>
      <c r="D19" t="s">
        <v>74</v>
      </c>
      <c r="E19">
        <v>1</v>
      </c>
      <c r="F19" t="s">
        <v>62</v>
      </c>
      <c r="G19" t="s">
        <v>75</v>
      </c>
    </row>
    <row r="20" spans="1:7">
      <c r="A20" t="s">
        <v>43</v>
      </c>
      <c r="B20" t="s">
        <v>76</v>
      </c>
      <c r="C20" t="s">
        <v>77</v>
      </c>
      <c r="D20" t="s">
        <v>78</v>
      </c>
      <c r="E20">
        <v>1</v>
      </c>
      <c r="F20" t="s">
        <v>62</v>
      </c>
      <c r="G20" t="s">
        <v>79</v>
      </c>
    </row>
    <row r="21" spans="1:7">
      <c r="A21" s="6" t="s">
        <v>8</v>
      </c>
    </row>
    <row r="22" spans="1:7">
      <c r="A22" t="s">
        <v>80</v>
      </c>
      <c r="B22" t="s">
        <v>81</v>
      </c>
      <c r="C22" t="s">
        <v>82</v>
      </c>
      <c r="D22" t="s">
        <v>83</v>
      </c>
      <c r="E22">
        <v>1</v>
      </c>
      <c r="F22" t="s">
        <v>62</v>
      </c>
      <c r="G22" t="s">
        <v>84</v>
      </c>
    </row>
    <row r="23" spans="1:7">
      <c r="A23" t="s">
        <v>80</v>
      </c>
      <c r="B23" t="s">
        <v>85</v>
      </c>
      <c r="C23" t="s">
        <v>86</v>
      </c>
      <c r="D23" t="s">
        <v>87</v>
      </c>
      <c r="E23">
        <v>1</v>
      </c>
      <c r="F23" t="s">
        <v>62</v>
      </c>
      <c r="G23" t="s">
        <v>88</v>
      </c>
    </row>
    <row r="24" spans="1:7">
      <c r="A24" t="s">
        <v>80</v>
      </c>
      <c r="B24" t="s">
        <v>89</v>
      </c>
      <c r="C24" t="s">
        <v>90</v>
      </c>
      <c r="D24" t="s">
        <v>91</v>
      </c>
      <c r="E24">
        <v>17</v>
      </c>
      <c r="F24" t="s">
        <v>92</v>
      </c>
      <c r="G24" t="s">
        <v>93</v>
      </c>
    </row>
    <row r="25" spans="1:7">
      <c r="A25" t="s">
        <v>80</v>
      </c>
      <c r="B25" t="s">
        <v>94</v>
      </c>
      <c r="C25" t="s">
        <v>95</v>
      </c>
      <c r="D25" t="s">
        <v>96</v>
      </c>
      <c r="E25">
        <v>4</v>
      </c>
      <c r="F25" t="s">
        <v>62</v>
      </c>
      <c r="G25" t="s">
        <v>97</v>
      </c>
    </row>
    <row r="26" spans="1:7">
      <c r="A26" t="s">
        <v>80</v>
      </c>
      <c r="B26" t="s">
        <v>98</v>
      </c>
      <c r="C26" t="s">
        <v>99</v>
      </c>
      <c r="D26" t="s">
        <v>100</v>
      </c>
      <c r="E26">
        <v>25</v>
      </c>
      <c r="F26" t="s">
        <v>101</v>
      </c>
      <c r="G26" t="s">
        <v>102</v>
      </c>
    </row>
    <row r="27" spans="1:7">
      <c r="A27" s="5" t="s">
        <v>24</v>
      </c>
    </row>
    <row r="28" spans="1:7">
      <c r="A28" t="s">
        <v>103</v>
      </c>
      <c r="B28" t="s">
        <v>104</v>
      </c>
      <c r="C28" t="s">
        <v>105</v>
      </c>
      <c r="D28" t="s">
        <v>106</v>
      </c>
      <c r="E28">
        <v>2</v>
      </c>
      <c r="F28" t="s">
        <v>62</v>
      </c>
      <c r="G28" t="s">
        <v>107</v>
      </c>
    </row>
    <row r="29" spans="1:7">
      <c r="A29" t="s">
        <v>103</v>
      </c>
      <c r="B29" t="s">
        <v>108</v>
      </c>
      <c r="C29" t="s">
        <v>109</v>
      </c>
      <c r="D29" t="s">
        <v>110</v>
      </c>
      <c r="E29">
        <v>15</v>
      </c>
      <c r="F29" t="s">
        <v>111</v>
      </c>
      <c r="G29" t="s">
        <v>112</v>
      </c>
    </row>
    <row r="30" spans="1:7">
      <c r="A30" t="s">
        <v>103</v>
      </c>
      <c r="B30" t="s">
        <v>113</v>
      </c>
      <c r="C30" t="s">
        <v>114</v>
      </c>
      <c r="D30" t="s">
        <v>115</v>
      </c>
      <c r="E30">
        <v>1</v>
      </c>
      <c r="F30" t="s">
        <v>62</v>
      </c>
      <c r="G30" t="s">
        <v>116</v>
      </c>
    </row>
    <row r="31" spans="1:7">
      <c r="A31" t="s">
        <v>103</v>
      </c>
      <c r="B31" t="s">
        <v>117</v>
      </c>
      <c r="C31" t="s">
        <v>118</v>
      </c>
      <c r="D31" t="s">
        <v>119</v>
      </c>
      <c r="E31">
        <v>1</v>
      </c>
      <c r="F31" t="s">
        <v>62</v>
      </c>
      <c r="G31" t="s">
        <v>120</v>
      </c>
    </row>
    <row r="32" spans="1:7">
      <c r="A32" t="s">
        <v>121</v>
      </c>
      <c r="B32" t="s">
        <v>38</v>
      </c>
      <c r="C32" t="s">
        <v>122</v>
      </c>
      <c r="D32" t="s">
        <v>123</v>
      </c>
      <c r="E32" t="s">
        <v>124</v>
      </c>
      <c r="F32" t="s">
        <v>62</v>
      </c>
      <c r="G32" t="s">
        <v>125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B4" sqref="B4"/>
    </sheetView>
  </sheetViews>
  <sheetFormatPr defaultColWidth="9" defaultRowHeight="14.4"/>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model1</vt:lpstr>
      <vt:lpstr>CSS</vt:lpstr>
      <vt:lpstr>Sheet2</vt:lpstr>
      <vt:lpstr>uplink</vt:lpstr>
      <vt:lpstr>relay</vt:lpstr>
      <vt:lpstr>phase1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francisli</dc:creator>
  <cp:lastModifiedBy>Li, Francis</cp:lastModifiedBy>
  <dcterms:created xsi:type="dcterms:W3CDTF">2026-05-11T15:46:41Z</dcterms:created>
  <dcterms:modified xsi:type="dcterms:W3CDTF">2026-05-15T12:46:18Z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B1D0B3E49D97B337B96C036A65AE1CD7_43</vt:lpwstr>
  </property>
  <property fmtid="{D5CDD505-2E9C-101B-9397-08002B2CF9AE}" pid="3" name="KSOProductBuildVer">
    <vt:lpwstr>1033-7.2.0.8943</vt:lpwstr>
  </property>
</Properties>
</file>